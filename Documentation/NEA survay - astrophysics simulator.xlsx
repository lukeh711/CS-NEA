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greenheadcollege.sharepoint.com/sites/GC_Subjects_COM/NEA2527/Hatherly, Luke - S252201/CS-NEA/Documentation/"/>
    </mc:Choice>
  </mc:AlternateContent>
  <xr:revisionPtr revIDLastSave="545" documentId="8_{54F50AF8-A858-4608-9989-59E7647B9C04}" xr6:coauthVersionLast="47" xr6:coauthVersionMax="47" xr10:uidLastSave="{B70F9FB0-823E-4B98-B5E6-58654B1807C2}"/>
  <bookViews>
    <workbookView xWindow="-110" yWindow="-110" windowWidth="22620" windowHeight="14220" xr2:uid="{00000000-000D-0000-FFFF-FFFF00000000}"/>
  </bookViews>
  <sheets>
    <sheet name="Sheet1" sheetId="1" r:id="rId1"/>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64" i="1" l="1" a="1"/>
  <c r="X64" i="1" s="1"/>
  <c r="AD64" i="1" a="1"/>
  <c r="AD64" i="1" s="1"/>
  <c r="AC64" i="1" a="1"/>
  <c r="AC64" i="1" s="1"/>
  <c r="AB64" i="1" a="1"/>
  <c r="AB64" i="1" s="1"/>
  <c r="AA64" i="1" a="1"/>
  <c r="AA64" i="1" s="1"/>
  <c r="Z64" i="1" a="1"/>
  <c r="Z64" i="1" s="1"/>
  <c r="Y64" i="1" a="1"/>
  <c r="Y64" i="1" s="1"/>
  <c r="AE64" i="1" a="1"/>
  <c r="AE64" i="1" s="1"/>
  <c r="AG64" i="1" a="1"/>
  <c r="AG64" i="1" s="1"/>
  <c r="AF64" i="1" a="1"/>
  <c r="AF64" i="1" s="1"/>
  <c r="F62" i="1" a="1"/>
  <c r="F62" i="1" s="1"/>
  <c r="G62" i="1" a="1"/>
  <c r="G62" i="1" s="1"/>
  <c r="H62" i="1" a="1"/>
  <c r="H62" i="1" s="1"/>
  <c r="M138" i="1" a="1"/>
  <c r="M138" i="1" s="1"/>
  <c r="M137" i="1" a="1"/>
  <c r="M137" i="1" s="1"/>
  <c r="M136" i="1" a="1"/>
  <c r="M136" i="1" s="1"/>
  <c r="M135" i="1" a="1"/>
  <c r="M135" i="1" s="1"/>
  <c r="M132" i="1" a="1"/>
  <c r="M132" i="1" s="1"/>
  <c r="M131" i="1" a="1"/>
  <c r="M131" i="1" s="1"/>
  <c r="M130" i="1" a="1"/>
  <c r="M130" i="1" s="1"/>
  <c r="M129" i="1" a="1"/>
  <c r="M129" i="1" s="1"/>
  <c r="M126" i="1" a="1"/>
  <c r="M126" i="1" s="1"/>
  <c r="M125" i="1" a="1"/>
  <c r="M125" i="1" s="1"/>
  <c r="M124" i="1" a="1"/>
  <c r="M124" i="1" s="1"/>
  <c r="M123" i="1" a="1"/>
  <c r="M123" i="1" s="1"/>
  <c r="M120" i="1" a="1"/>
  <c r="M120" i="1" s="1"/>
  <c r="M119" i="1" a="1"/>
  <c r="M119" i="1" s="1"/>
  <c r="M118" i="1" a="1"/>
  <c r="M118" i="1" s="1"/>
  <c r="M117" i="1" a="1"/>
  <c r="M117"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<sst xmlns="http://schemas.openxmlformats.org/spreadsheetml/2006/main" count="1057" uniqueCount="174">
  <si>
    <t>Id</t>
  </si>
  <si>
    <t>Start time</t>
  </si>
  <si>
    <t>Completion time</t>
  </si>
  <si>
    <t>Email</t>
  </si>
  <si>
    <t>Name</t>
  </si>
  <si>
    <t>Do you study physics?</t>
  </si>
  <si>
    <t>Astrophysics is the study of space, planets and stars.</t>
  </si>
  <si>
    <t>Would you be interested in using an astrophysics simulator, like the one pictured?</t>
  </si>
  <si>
    <t>Why not?</t>
  </si>
  <si>
    <t>how would you rank each of these UIs (user interfaces)?</t>
  </si>
  <si>
    <t>What did you like the most about your top choice?</t>
  </si>
  <si>
    <t>How important would you say each of these features are in an astrophysics simulator?.Orbital trajectories</t>
  </si>
  <si>
    <t>How important would you say each of these features are in an astrophysics simulator?.Apoapsis / Periapsis</t>
  </si>
  <si>
    <t>How important would you say each of these features are in an astrophysics simulator?.Time fastforwarding / rewinding</t>
  </si>
  <si>
    <t>How important would you say each of these features are in an astrophysics simulator?.Asteroids / other celestial objects</t>
  </si>
  <si>
    <t>How important would you say each of these features are in an astrophysics simulator?.Force overlays</t>
  </si>
  <si>
    <t>How important would you say each of these features are in an astrophysics simulator?.Realistic textures for planets and background</t>
  </si>
  <si>
    <t>How important would you say each of these features are in an astrophysics simulator?.Being able to alter the properties of a planet halfway through</t>
  </si>
  <si>
    <t>How important would you say each of these features are in an astrophysics simulator?.A fancier, more polished UI</t>
  </si>
  <si>
    <t>How much would this program interest you / help you learn more about astrophysics?</t>
  </si>
  <si>
    <t>What would you add to this program to make it more interesting / help you learn more?</t>
  </si>
  <si>
    <t>anonymous</t>
  </si>
  <si>
    <t>No</t>
  </si>
  <si>
    <t>Maybe</t>
  </si>
  <si>
    <t>Image 1;Image 2;Image 3;Image 4;</t>
  </si>
  <si>
    <t>shows the motion</t>
  </si>
  <si>
    <t>Neutral</t>
  </si>
  <si>
    <t>Very important</t>
  </si>
  <si>
    <t>Not really important</t>
  </si>
  <si>
    <t>explanations on different things</t>
  </si>
  <si>
    <t>Yes</t>
  </si>
  <si>
    <t>Image 1;Image 3;Image 2;Image 4;</t>
  </si>
  <si>
    <t>it shows previous paths of the planets and shows the gravitational attraction to each other.</t>
  </si>
  <si>
    <t>Somewhat important</t>
  </si>
  <si>
    <t>pre made solar systems E.G. our solar system, but then you can edit the masses of planets like Jupiter and make all the planet crash into each other, maybe showing a star going into supernovae and show the planets getting flung away</t>
  </si>
  <si>
    <t>Image 1;Image 4;Image 3;Image 2;</t>
  </si>
  <si>
    <t>Nice and simple whilst giving you lots of options</t>
  </si>
  <si>
    <t>Not making it too limited within the scope of your project, e.g. make the project however you want but don't then limit the amount of bodies. if it decreases performance for example just pop up a warning</t>
  </si>
  <si>
    <t>Image 2;Image 3;Image 1;Image 4;</t>
  </si>
  <si>
    <t>Most clear depictions of planets and other space elements</t>
  </si>
  <si>
    <t xml:space="preserve">I think its a very clear and distinct model with a GUI that appears user friendly only suggestion is could it depict the size of the planets either to scale or by pure number size </t>
  </si>
  <si>
    <t>Image 1;Image 2;Image 4;Image 3;</t>
  </si>
  <si>
    <t xml:space="preserve">Looks easy to customise different variables </t>
  </si>
  <si>
    <t>N/A</t>
  </si>
  <si>
    <t>Simplicity of it</t>
  </si>
  <si>
    <t>Add info as to what ur changing and how it affects it</t>
  </si>
  <si>
    <t>Image 3;Image 4;Image 1;Image 2;</t>
  </si>
  <si>
    <t>Idk</t>
  </si>
  <si>
    <t xml:space="preserve">Yeh </t>
  </si>
  <si>
    <t xml:space="preserve">It looks cooler </t>
  </si>
  <si>
    <t xml:space="preserve">ADD ALIENS </t>
  </si>
  <si>
    <t>Image 3;Image 1;Image 4;Image 2;</t>
  </si>
  <si>
    <t xml:space="preserve">The planet layout </t>
  </si>
  <si>
    <t xml:space="preserve">Black holes </t>
  </si>
  <si>
    <t>The planets look cool</t>
  </si>
  <si>
    <t xml:space="preserve">Explain why it happened </t>
  </si>
  <si>
    <t>Image 3;Image 2;Image 1;Image 4;</t>
  </si>
  <si>
    <t xml:space="preserve">The visualisation of planets </t>
  </si>
  <si>
    <t>No clue.</t>
  </si>
  <si>
    <t>I liked how all the options are easy to understand</t>
  </si>
  <si>
    <t>Image 2;Image 4;Image 3;Image 1;</t>
  </si>
  <si>
    <t>Planets</t>
  </si>
  <si>
    <t>Go beyond our galaxy</t>
  </si>
  <si>
    <t>Image 2;Image 1;Image 4;Image 3;</t>
  </si>
  <si>
    <t>Seeing the planets</t>
  </si>
  <si>
    <t>Information about the planets</t>
  </si>
  <si>
    <t>I like how it depics the planets, rather than plain spheres.</t>
  </si>
  <si>
    <t>Not sure</t>
  </si>
  <si>
    <t>It looked clear but detailed</t>
  </si>
  <si>
    <t>Maybe detailed descriptions of different functions of the simulator with scientific explanations</t>
  </si>
  <si>
    <t>Image 3;Image 4;Image 2;Image 1;</t>
  </si>
  <si>
    <t>Looks good</t>
  </si>
  <si>
    <t>Tutorials</t>
  </si>
  <si>
    <t>Image 2;Image 1;Image 3;Image 4;</t>
  </si>
  <si>
    <t>pictures of planets</t>
  </si>
  <si>
    <t xml:space="preserve">chances to make your own planets with their own properties </t>
  </si>
  <si>
    <t>Image 1;Image 3;Image 4;Image 2;</t>
  </si>
  <si>
    <t>User friendly UI</t>
  </si>
  <si>
    <t>Jedediah Kerman</t>
  </si>
  <si>
    <t xml:space="preserve">Simple and easy to understand </t>
  </si>
  <si>
    <t>Dont know</t>
  </si>
  <si>
    <t xml:space="preserve">Im not into the physics aspects of space so i wont understand 4 or 1 but i do really like soace and planets as a general so i prefer 2 </t>
  </si>
  <si>
    <t xml:space="preserve">Dk maybe make it less scientific for the non astrophysicist </t>
  </si>
  <si>
    <t>Image 3;Image 1;Image 2;Image 4;</t>
  </si>
  <si>
    <t>Appears to be more detailed</t>
  </si>
  <si>
    <t>It’s simple and easy to understand</t>
  </si>
  <si>
    <t>Premade scenarios</t>
  </si>
  <si>
    <t>Image 2;Image 4;Image 1;Image 3;</t>
  </si>
  <si>
    <t>Visualises the planets and simplistic GUI so not cluttered</t>
  </si>
  <si>
    <t>A simple tutorial walkthrough to help the user understand how to use the program</t>
  </si>
  <si>
    <t xml:space="preserve">Good quality </t>
  </si>
  <si>
    <t xml:space="preserve">Tutorial </t>
  </si>
  <si>
    <t>Clarity of interface and ease to view</t>
  </si>
  <si>
    <t xml:space="preserve">To be able to see effects of gravity and slight orbit movement changes to see how it affects the planet and the solar system </t>
  </si>
  <si>
    <t xml:space="preserve">Planets </t>
  </si>
  <si>
    <t>Not important at all</t>
  </si>
  <si>
    <t>Unicorn cartoons</t>
  </si>
  <si>
    <t>Clean</t>
  </si>
  <si>
    <t>Teaches you what's required on the spec</t>
  </si>
  <si>
    <t>Image 2;Image 3;Image 4;Image 1;</t>
  </si>
  <si>
    <t xml:space="preserve">Easy to navigate </t>
  </si>
  <si>
    <t xml:space="preserve">Fields </t>
  </si>
  <si>
    <t>Looks easier to use</t>
  </si>
  <si>
    <t xml:space="preserve">Have the calculations of trajectories and stuff visible to the user </t>
  </si>
  <si>
    <t>easy to understand compared to others</t>
  </si>
  <si>
    <t>Asteroid impact simulator</t>
  </si>
  <si>
    <t>3d</t>
  </si>
  <si>
    <t>yes</t>
  </si>
  <si>
    <t xml:space="preserve">Looked suitable </t>
  </si>
  <si>
    <t xml:space="preserve">Maybe a tab/popup that would show you how to use different aspects of the program </t>
  </si>
  <si>
    <t>the ui is more eye catching and easier to read + notice</t>
  </si>
  <si>
    <t>cool random planet generator with different things on</t>
  </si>
  <si>
    <t>the planets are very pretty</t>
  </si>
  <si>
    <t>more complementary colours</t>
  </si>
  <si>
    <t>I like planets</t>
  </si>
  <si>
    <t>Not sure its great</t>
  </si>
  <si>
    <t>Ur a beg + stop being a ksp larper</t>
  </si>
  <si>
    <t xml:space="preserve">Stop begging it </t>
  </si>
  <si>
    <t>Closer to what I usually visualise Astro as when I’m figuring things out</t>
  </si>
  <si>
    <t xml:space="preserve">Simpler and easier to understand interface - less overwhelming for beginners </t>
  </si>
  <si>
    <t>n/a</t>
  </si>
  <si>
    <t>More simplistic but still shows arrows and whatnot</t>
  </si>
  <si>
    <t>making it 3d</t>
  </si>
  <si>
    <t>Least overwhelmimg</t>
  </si>
  <si>
    <t>I think id be overwhelmed thanks though</t>
  </si>
  <si>
    <t xml:space="preserve">clear and intuitive, i’m squinting at it and i can still see where everything is and where to go  </t>
  </si>
  <si>
    <t>Facts about orbitals and maybe a stats for nerds thing like on youtube where if you toggle it you see the physics behind the simulation</t>
  </si>
  <si>
    <t xml:space="preserve">very sleek </t>
  </si>
  <si>
    <t>idk</t>
  </si>
  <si>
    <t>Image 1;Image 4;Image 2;Image 3;</t>
  </si>
  <si>
    <t xml:space="preserve">simple but still scientific </t>
  </si>
  <si>
    <t>na</t>
  </si>
  <si>
    <t xml:space="preserve">The interface looks easier to understand </t>
  </si>
  <si>
    <t xml:space="preserve">I don’t know </t>
  </si>
  <si>
    <t>1 is simplistic with a decent amount of information.</t>
  </si>
  <si>
    <t>Have equations available to see them working</t>
  </si>
  <si>
    <t>Looks cool</t>
  </si>
  <si>
    <t xml:space="preserve">Facts about the things </t>
  </si>
  <si>
    <t xml:space="preserve">Simplicity </t>
  </si>
  <si>
    <t>.</t>
  </si>
  <si>
    <t xml:space="preserve">I like the amount of things you can see that you can do without it being cluttered </t>
  </si>
  <si>
    <t xml:space="preserve">calculations and the equation for the calculations that are happening </t>
  </si>
  <si>
    <t>Customisable systems with possible examples as pre-sets.</t>
  </si>
  <si>
    <t>Idk i dont like those kinds of stuff</t>
  </si>
  <si>
    <t xml:space="preserve">looks confusing </t>
  </si>
  <si>
    <t xml:space="preserve">I don't like physics </t>
  </si>
  <si>
    <t>Cause it’s ahh and ur a beg</t>
  </si>
  <si>
    <t>Image 1</t>
  </si>
  <si>
    <t>Image 2</t>
  </si>
  <si>
    <t>Image 3</t>
  </si>
  <si>
    <t>Image 4</t>
  </si>
  <si>
    <t>First choice</t>
  </si>
  <si>
    <t>Second choice</t>
  </si>
  <si>
    <t>Third choice</t>
  </si>
  <si>
    <t>Fourth choice</t>
  </si>
  <si>
    <t xml:space="preserve"> </t>
  </si>
  <si>
    <t>Filter: Non physics students only</t>
  </si>
  <si>
    <t>Filter: Physics students only</t>
  </si>
  <si>
    <t>4</t>
  </si>
  <si>
    <t>Rating</t>
  </si>
  <si>
    <t>Frequency</t>
  </si>
  <si>
    <t>1</t>
  </si>
  <si>
    <t>2</t>
  </si>
  <si>
    <t>3</t>
  </si>
  <si>
    <t>5</t>
  </si>
  <si>
    <t>6</t>
  </si>
  <si>
    <t>7</t>
  </si>
  <si>
    <t>8</t>
  </si>
  <si>
    <t>9</t>
  </si>
  <si>
    <t>10</t>
  </si>
  <si>
    <t>NOTE: This is not connected to the live Microsoft Form, so the results drawn from here are from the snapshot of time it was downloaded in.</t>
  </si>
  <si>
    <t>All of these tables and graphs are effected by filters, so you can filter the results as you please!</t>
  </si>
  <si>
    <t>NOTE: Changing the filters on the main table doesn’t effect the image choice table - apply filters seperately to each table.</t>
  </si>
  <si>
    <t>Filters: Non physics students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</si>
</sst>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b/>
      <sz val="11"/>
      <color rgb="FFFFFFFF"/>
      <name val="Calibri"/>
      <family val="2"/>
      <scheme val="minor"/>
    </font>
    <font>
      <sz val="11"/>
      <color rgb="FF000000"/>
      <name val="Calibri"/>
      <family val="2"/>
      <scheme val="minor"/>
    </font>
    <font>
      <sz val="14"/>
      <color theme="1"/>
      <name val="Calibri"/>
      <family val="2"/>
      <scheme val="minor"/>
    </font>
    <font>
      <sz val="18"/>
      <color theme="1"/>
      <name val="Calibri"/>
      <family val="2"/>
      <scheme val="minor"/>
    </font>
  </fonts>
  <fills count="9">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rgb="FF5B9BD5"/>
        <bgColor rgb="FF5B9BD5"/>
      </patternFill>
    </fill>
    <fill>
      <patternFill patternType="solid">
        <fgColor rgb="FFDDEBF7"/>
        <bgColor rgb="FFDDEBF7"/>
      </patternFill>
    </fill>
    <fill>
      <patternFill patternType="solid">
        <fgColor rgb="FFFFCCCC"/>
        <bgColor indexed="64"/>
      </patternFill>
    </fill>
    <fill>
      <patternFill patternType="solid">
        <fgColor rgb="FFCCFFCC"/>
        <bgColor indexed="64"/>
      </patternFill>
    </fill>
    <fill>
      <patternFill patternType="solid">
        <fgColor theme="4" tint="0.79998168889431442"/>
        <bgColor indexed="6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
      <left style="thin">
        <color indexed="64"/>
      </left>
      <right style="thin">
        <color indexed="64"/>
      </right>
      <top style="thin">
        <color theme="4" tint="0.39997558519241921"/>
      </top>
      <bottom style="thin">
        <color indexed="64"/>
      </bottom>
      <diagonal/>
    </border>
  </borders>
  <cellStyleXfs count="1">
    <xf numFmtId="0" fontId="0" fillId="0" borderId="0"/>
  </cellStyleXfs>
  <cellXfs count="26">
    <xf numFmtId="0" fontId="0" fillId="0" borderId="0" xfId="0"/>
    <xf numFmtId="0" fontId="0" fillId="0" borderId="0" xfId="0" quotePrefix="1"/>
    <xf numFmtId="22" fontId="0" fillId="0" borderId="0" xfId="0" applyNumberFormat="1"/>
    <xf numFmtId="0" fontId="0" fillId="0" borderId="2" xfId="0" applyBorder="1"/>
    <xf numFmtId="0" fontId="0" fillId="2" borderId="2" xfId="0" applyFill="1" applyBorder="1"/>
    <xf numFmtId="0" fontId="1" fillId="3" borderId="1" xfId="0" applyFont="1" applyFill="1" applyBorder="1"/>
    <xf numFmtId="0" fontId="1" fillId="3" borderId="2" xfId="0" applyFont="1" applyFill="1" applyBorder="1"/>
    <xf numFmtId="0" fontId="1" fillId="3" borderId="3" xfId="0" applyFont="1" applyFill="1" applyBorder="1"/>
    <xf numFmtId="49" fontId="0" fillId="0" borderId="0" xfId="0" applyNumberFormat="1"/>
    <xf numFmtId="0" fontId="0" fillId="0" borderId="1" xfId="0" applyBorder="1"/>
    <xf numFmtId="0" fontId="0" fillId="0" borderId="3" xfId="0" applyBorder="1"/>
    <xf numFmtId="0" fontId="2" fillId="4" borderId="0" xfId="0" applyFont="1" applyFill="1"/>
    <xf numFmtId="0" fontId="3" fillId="5" borderId="0" xfId="0" applyFont="1" applyFill="1"/>
    <xf numFmtId="0" fontId="3" fillId="0" borderId="0" xfId="0" applyFont="1"/>
    <xf numFmtId="0" fontId="1" fillId="0" borderId="0" xfId="0" applyFont="1"/>
    <xf numFmtId="0" fontId="0" fillId="0" borderId="0" xfId="0" applyAlignment="1">
      <alignment horizontal="center"/>
    </xf>
    <xf numFmtId="0" fontId="5" fillId="6" borderId="0" xfId="0" applyFont="1" applyFill="1" applyAlignment="1">
      <alignment horizontal="center" vertical="center"/>
    </xf>
    <xf numFmtId="0" fontId="4" fillId="6" borderId="0" xfId="0" applyFont="1" applyFill="1" applyAlignment="1">
      <alignment horizontal="center" vertical="center"/>
    </xf>
    <xf numFmtId="0" fontId="5" fillId="7" borderId="0" xfId="0" applyFont="1" applyFill="1" applyAlignment="1">
      <alignment horizontal="center" vertical="center"/>
    </xf>
    <xf numFmtId="0" fontId="0" fillId="0" borderId="4" xfId="0" applyFont="1" applyFill="1" applyBorder="1"/>
    <xf numFmtId="0" fontId="0" fillId="8" borderId="5" xfId="0" applyFont="1" applyFill="1" applyBorder="1"/>
    <xf numFmtId="0" fontId="0" fillId="0" borderId="5" xfId="0" applyFont="1" applyFill="1" applyBorder="1"/>
    <xf numFmtId="0" fontId="0" fillId="0" borderId="6" xfId="0" applyFont="1" applyFill="1" applyBorder="1"/>
    <xf numFmtId="0" fontId="0" fillId="2" borderId="4" xfId="0" applyFont="1" applyFill="1" applyBorder="1"/>
    <xf numFmtId="0" fontId="0" fillId="0" borderId="5" xfId="0" applyFont="1" applyBorder="1"/>
    <xf numFmtId="0" fontId="0" fillId="2" borderId="5" xfId="0" applyFont="1" applyFill="1" applyBorder="1"/>
  </cellXfs>
  <cellStyles count="1">
    <cellStyle name="Normal" xfId="0" builtinId="0"/>
  </cellStyles>
  <dxfs count="24">
    <dxf>
      <numFmt numFmtId="0" formatCode="General"/>
    </dxf>
    <dxf>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numFmt numFmtId="30" formatCode="@"/>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0" formatCode="General"/>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s>
  <tableStyles count="0" defaultTableStyle="TableStyleMedium2" defaultPivotStyle="PivotStyleLight16"/>
  <colors>
    <mruColors>
      <color rgb="FFCCFFCC"/>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styles" Target="style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11" Type="http://schemas.openxmlformats.org/officeDocument/2006/relationships/customXml" Target="../customXml/item4.xml"/><Relationship Id="rId5" Type="http://schemas.openxmlformats.org/officeDocument/2006/relationships/sheetMetadata" Target="metadata.xml"/><Relationship Id="rId10" Type="http://schemas.openxmlformats.org/officeDocument/2006/relationships/customXml" Target="../customXml/item3.xml"/><Relationship Id="rId4" Type="http://schemas.openxmlformats.org/officeDocument/2006/relationships/sharedStrings" Target="sharedStrings.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Would you be interested in using an astrophysics simulator?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7A-4477-BC62-D36F3B8A4D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7A-4477-BC62-D36F3B8A4D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47A-4477-BC62-D36F3B8A4DA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Sheet1!$F$61:$H$61</c:f>
              <c:strCache>
                <c:ptCount val="3"/>
                <c:pt idx="0">
                  <c:v>Yes</c:v>
                </c:pt>
                <c:pt idx="1">
                  <c:v>No</c:v>
                </c:pt>
                <c:pt idx="2">
                  <c:v>Maybe</c:v>
                </c:pt>
              </c:strCache>
            </c:strRef>
          </c:cat>
          <c:val>
            <c:numRef>
              <c:f>Sheet1!$F$62:$H$62</c:f>
              <c:numCache>
                <c:formatCode>General</c:formatCode>
                <c:ptCount val="3"/>
                <c:pt idx="0">
                  <c:v>32</c:v>
                </c:pt>
                <c:pt idx="1">
                  <c:v>8</c:v>
                </c:pt>
                <c:pt idx="2">
                  <c:v>18</c:v>
                </c:pt>
              </c:numCache>
            </c:numRef>
          </c:val>
          <c:extLst>
            <c:ext xmlns:c16="http://schemas.microsoft.com/office/drawing/2014/chart" uri="{C3380CC4-5D6E-409C-BE32-E72D297353CC}">
              <c16:uniqueId val="{00000000-8DE7-4D89-AF09-8DE353493AA1}"/>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0" i="0" u="none" strike="noStrike" baseline="0">
                <a:solidFill>
                  <a:sysClr val="windowText" lastClr="000000">
                    <a:lumMod val="65000"/>
                    <a:lumOff val="35000"/>
                  </a:sysClr>
                </a:solidFill>
                <a:latin typeface="Calibri" panose="020F0502020204030204"/>
              </a:rPr>
              <a:t>First choice</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Sheet1!$M$116</c:f>
              <c:strCache>
                <c:ptCount val="1"/>
                <c:pt idx="0">
                  <c:v>First choice</c:v>
                </c:pt>
              </c:strCache>
            </c:strRef>
          </c:tx>
          <c:spPr>
            <a:solidFill>
              <a:schemeClr val="accent1"/>
            </a:solidFill>
            <a:ln>
              <a:noFill/>
            </a:ln>
            <a:effectLst/>
          </c:spPr>
          <c:invertIfNegative val="0"/>
          <c:cat>
            <c:strRef>
              <c:f>Sheet1!$L$117:$L$120</c:f>
              <c:strCache>
                <c:ptCount val="4"/>
                <c:pt idx="0">
                  <c:v>Image 1</c:v>
                </c:pt>
                <c:pt idx="1">
                  <c:v>Image 2</c:v>
                </c:pt>
                <c:pt idx="2">
                  <c:v>Image 3</c:v>
                </c:pt>
                <c:pt idx="3">
                  <c:v>Image 4</c:v>
                </c:pt>
              </c:strCache>
            </c:strRef>
          </c:cat>
          <c:val>
            <c:numRef>
              <c:f>Sheet1!$M$117:$M$120</c:f>
              <c:numCache>
                <c:formatCode>General</c:formatCode>
                <c:ptCount val="4"/>
                <c:pt idx="0">
                  <c:v>13</c:v>
                </c:pt>
                <c:pt idx="1">
                  <c:v>25</c:v>
                </c:pt>
                <c:pt idx="2">
                  <c:v>11</c:v>
                </c:pt>
                <c:pt idx="3">
                  <c:v>0</c:v>
                </c:pt>
              </c:numCache>
            </c:numRef>
          </c:val>
          <c:extLst>
            <c:ext xmlns:c16="http://schemas.microsoft.com/office/drawing/2014/chart" uri="{C3380CC4-5D6E-409C-BE32-E72D297353CC}">
              <c16:uniqueId val="{00000000-6BF7-465D-B456-38FE1859C250}"/>
            </c:ext>
          </c:extLst>
        </c:ser>
        <c:dLbls>
          <c:showLegendKey val="0"/>
          <c:showVal val="0"/>
          <c:showCatName val="0"/>
          <c:showSerName val="0"/>
          <c:showPercent val="0"/>
          <c:showBubbleSize val="0"/>
        </c:dLbls>
        <c:gapWidth val="0"/>
        <c:axId val="96806799"/>
        <c:axId val="96807279"/>
      </c:barChart>
      <c:catAx>
        <c:axId val="9680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96807279"/>
        <c:crosses val="autoZero"/>
        <c:auto val="1"/>
        <c:lblAlgn val="ctr"/>
        <c:lblOffset val="100"/>
        <c:noMultiLvlLbl val="0"/>
      </c:catAx>
      <c:valAx>
        <c:axId val="96807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9680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0" i="0" u="none" strike="noStrike" baseline="0">
                <a:solidFill>
                  <a:sysClr val="windowText" lastClr="000000">
                    <a:lumMod val="65000"/>
                    <a:lumOff val="35000"/>
                  </a:sysClr>
                </a:solidFill>
                <a:latin typeface="Calibri" panose="020F0502020204030204"/>
              </a:rPr>
              <a:t>Second choice</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Sheet1!$M$122</c:f>
              <c:strCache>
                <c:ptCount val="1"/>
                <c:pt idx="0">
                  <c:v>Second choice</c:v>
                </c:pt>
              </c:strCache>
            </c:strRef>
          </c:tx>
          <c:spPr>
            <a:solidFill>
              <a:schemeClr val="accent1"/>
            </a:solidFill>
            <a:ln>
              <a:noFill/>
            </a:ln>
            <a:effectLst/>
          </c:spPr>
          <c:invertIfNegative val="0"/>
          <c:cat>
            <c:strRef>
              <c:f>Sheet1!$L$123:$L$126</c:f>
              <c:strCache>
                <c:ptCount val="4"/>
                <c:pt idx="0">
                  <c:v>Image 1</c:v>
                </c:pt>
                <c:pt idx="1">
                  <c:v>Image 2</c:v>
                </c:pt>
                <c:pt idx="2">
                  <c:v>Image 3</c:v>
                </c:pt>
                <c:pt idx="3">
                  <c:v>Image 4</c:v>
                </c:pt>
              </c:strCache>
            </c:strRef>
          </c:cat>
          <c:val>
            <c:numRef>
              <c:f>Sheet1!$M$123:$M$126</c:f>
              <c:numCache>
                <c:formatCode>General</c:formatCode>
                <c:ptCount val="4"/>
                <c:pt idx="0">
                  <c:v>12</c:v>
                </c:pt>
                <c:pt idx="1">
                  <c:v>9</c:v>
                </c:pt>
                <c:pt idx="2">
                  <c:v>20</c:v>
                </c:pt>
                <c:pt idx="3">
                  <c:v>8</c:v>
                </c:pt>
              </c:numCache>
            </c:numRef>
          </c:val>
          <c:extLst>
            <c:ext xmlns:c16="http://schemas.microsoft.com/office/drawing/2014/chart" uri="{C3380CC4-5D6E-409C-BE32-E72D297353CC}">
              <c16:uniqueId val="{00000000-C842-4FA2-B5F2-292EAEC16A4C}"/>
            </c:ext>
          </c:extLst>
        </c:ser>
        <c:dLbls>
          <c:showLegendKey val="0"/>
          <c:showVal val="0"/>
          <c:showCatName val="0"/>
          <c:showSerName val="0"/>
          <c:showPercent val="0"/>
          <c:showBubbleSize val="0"/>
        </c:dLbls>
        <c:gapWidth val="0"/>
        <c:axId val="1407461136"/>
        <c:axId val="1407455376"/>
      </c:barChart>
      <c:catAx>
        <c:axId val="140746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407455376"/>
        <c:crosses val="autoZero"/>
        <c:auto val="1"/>
        <c:lblAlgn val="ctr"/>
        <c:lblOffset val="100"/>
        <c:noMultiLvlLbl val="0"/>
      </c:catAx>
      <c:valAx>
        <c:axId val="1407455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40746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0" i="0" u="none" strike="noStrike" baseline="0">
                <a:solidFill>
                  <a:sysClr val="windowText" lastClr="000000">
                    <a:lumMod val="65000"/>
                    <a:lumOff val="35000"/>
                  </a:sysClr>
                </a:solidFill>
                <a:latin typeface="Calibri" panose="020F0502020204030204"/>
              </a:rPr>
              <a:t>Third choice</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Sheet1!$M$128</c:f>
              <c:strCache>
                <c:ptCount val="1"/>
                <c:pt idx="0">
                  <c:v>Third choice</c:v>
                </c:pt>
              </c:strCache>
            </c:strRef>
          </c:tx>
          <c:spPr>
            <a:solidFill>
              <a:schemeClr val="accent1"/>
            </a:solidFill>
            <a:ln>
              <a:noFill/>
            </a:ln>
            <a:effectLst/>
          </c:spPr>
          <c:invertIfNegative val="0"/>
          <c:cat>
            <c:strRef>
              <c:f>Sheet1!$L$129:$L$131</c:f>
              <c:strCache>
                <c:ptCount val="3"/>
                <c:pt idx="0">
                  <c:v>Image 1</c:v>
                </c:pt>
                <c:pt idx="1">
                  <c:v>Image 2</c:v>
                </c:pt>
                <c:pt idx="2">
                  <c:v>Image 3</c:v>
                </c:pt>
              </c:strCache>
            </c:strRef>
          </c:cat>
          <c:val>
            <c:numRef>
              <c:f>Sheet1!$M$129:$M$131</c:f>
              <c:numCache>
                <c:formatCode>General</c:formatCode>
                <c:ptCount val="3"/>
                <c:pt idx="0">
                  <c:v>18</c:v>
                </c:pt>
                <c:pt idx="1">
                  <c:v>9</c:v>
                </c:pt>
                <c:pt idx="2">
                  <c:v>12</c:v>
                </c:pt>
              </c:numCache>
            </c:numRef>
          </c:val>
          <c:extLst>
            <c:ext xmlns:c16="http://schemas.microsoft.com/office/drawing/2014/chart" uri="{C3380CC4-5D6E-409C-BE32-E72D297353CC}">
              <c16:uniqueId val="{00000000-E478-4ADB-90D0-933C9FBFE4DC}"/>
            </c:ext>
          </c:extLst>
        </c:ser>
        <c:dLbls>
          <c:showLegendKey val="0"/>
          <c:showVal val="0"/>
          <c:showCatName val="0"/>
          <c:showSerName val="0"/>
          <c:showPercent val="0"/>
          <c:showBubbleSize val="0"/>
        </c:dLbls>
        <c:gapWidth val="0"/>
        <c:axId val="2027637984"/>
        <c:axId val="2022078240"/>
      </c:barChart>
      <c:catAx>
        <c:axId val="202763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2022078240"/>
        <c:crosses val="autoZero"/>
        <c:auto val="1"/>
        <c:lblAlgn val="ctr"/>
        <c:lblOffset val="100"/>
        <c:noMultiLvlLbl val="0"/>
      </c:catAx>
      <c:valAx>
        <c:axId val="2022078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202763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0" i="0" u="none" strike="noStrike" baseline="0">
                <a:solidFill>
                  <a:sysClr val="windowText" lastClr="000000">
                    <a:lumMod val="65000"/>
                    <a:lumOff val="35000"/>
                  </a:sysClr>
                </a:solidFill>
                <a:latin typeface="Calibri" panose="020F0502020204030204"/>
              </a:rPr>
              <a:t>Fourth choice</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Sheet1!$M$134</c:f>
              <c:strCache>
                <c:ptCount val="1"/>
                <c:pt idx="0">
                  <c:v>Fourth choice</c:v>
                </c:pt>
              </c:strCache>
            </c:strRef>
          </c:tx>
          <c:spPr>
            <a:solidFill>
              <a:schemeClr val="accent1"/>
            </a:solidFill>
            <a:ln>
              <a:noFill/>
            </a:ln>
            <a:effectLst/>
          </c:spPr>
          <c:invertIfNegative val="0"/>
          <c:cat>
            <c:strRef>
              <c:f>Sheet1!$L$135:$L$138</c:f>
              <c:strCache>
                <c:ptCount val="4"/>
                <c:pt idx="0">
                  <c:v>Image 1</c:v>
                </c:pt>
                <c:pt idx="1">
                  <c:v>Image 2</c:v>
                </c:pt>
                <c:pt idx="2">
                  <c:v>Image 3</c:v>
                </c:pt>
                <c:pt idx="3">
                  <c:v>Image 4</c:v>
                </c:pt>
              </c:strCache>
            </c:strRef>
          </c:cat>
          <c:val>
            <c:numRef>
              <c:f>Sheet1!$M$135:$M$138</c:f>
              <c:numCache>
                <c:formatCode>General</c:formatCode>
                <c:ptCount val="4"/>
                <c:pt idx="0">
                  <c:v>6</c:v>
                </c:pt>
                <c:pt idx="1">
                  <c:v>6</c:v>
                </c:pt>
                <c:pt idx="2">
                  <c:v>6</c:v>
                </c:pt>
                <c:pt idx="3">
                  <c:v>31</c:v>
                </c:pt>
              </c:numCache>
            </c:numRef>
          </c:val>
          <c:extLst>
            <c:ext xmlns:c16="http://schemas.microsoft.com/office/drawing/2014/chart" uri="{C3380CC4-5D6E-409C-BE32-E72D297353CC}">
              <c16:uniqueId val="{00000000-5139-4C18-8707-A13CB19E37A7}"/>
            </c:ext>
          </c:extLst>
        </c:ser>
        <c:dLbls>
          <c:showLegendKey val="0"/>
          <c:showVal val="0"/>
          <c:showCatName val="0"/>
          <c:showSerName val="0"/>
          <c:showPercent val="0"/>
          <c:showBubbleSize val="0"/>
        </c:dLbls>
        <c:gapWidth val="0"/>
        <c:axId val="1417453488"/>
        <c:axId val="1417447248"/>
      </c:barChart>
      <c:catAx>
        <c:axId val="141745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417447248"/>
        <c:crosses val="autoZero"/>
        <c:auto val="1"/>
        <c:lblAlgn val="ctr"/>
        <c:lblOffset val="100"/>
        <c:noMultiLvlLbl val="0"/>
      </c:catAx>
      <c:valAx>
        <c:axId val="141744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417453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How much would this program interest you / help you learn more about astrophysics?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Sheet1!$X$63</c:f>
              <c:strCache>
                <c:ptCount val="1"/>
                <c:pt idx="0">
                  <c:v>1</c:v>
                </c:pt>
              </c:strCache>
            </c:strRef>
          </c:tx>
          <c:spPr>
            <a:solidFill>
              <a:schemeClr val="accent5">
                <a:tint val="43000"/>
              </a:schemeClr>
            </a:solidFill>
            <a:ln>
              <a:noFill/>
            </a:ln>
            <a:effectLst/>
          </c:spPr>
          <c:invertIfNegative val="0"/>
          <c:val>
            <c:numRef>
              <c:f>Sheet1!$X$64</c:f>
              <c:numCache>
                <c:formatCode>General</c:formatCode>
                <c:ptCount val="1"/>
                <c:pt idx="0">
                  <c:v>0</c:v>
                </c:pt>
              </c:numCache>
            </c:numRef>
          </c:val>
          <c:extLst>
            <c:ext xmlns:c16="http://schemas.microsoft.com/office/drawing/2014/chart" uri="{C3380CC4-5D6E-409C-BE32-E72D297353CC}">
              <c16:uniqueId val="{00000000-494F-43AB-ABA5-4D4953CA11EB}"/>
            </c:ext>
          </c:extLst>
        </c:ser>
        <c:ser>
          <c:idx val="1"/>
          <c:order val="1"/>
          <c:tx>
            <c:strRef>
              <c:f>Sheet1!$Y$63</c:f>
              <c:strCache>
                <c:ptCount val="1"/>
                <c:pt idx="0">
                  <c:v>2</c:v>
                </c:pt>
              </c:strCache>
            </c:strRef>
          </c:tx>
          <c:spPr>
            <a:solidFill>
              <a:schemeClr val="accent5">
                <a:tint val="56000"/>
              </a:schemeClr>
            </a:solidFill>
            <a:ln>
              <a:noFill/>
            </a:ln>
            <a:effectLst/>
          </c:spPr>
          <c:invertIfNegative val="0"/>
          <c:val>
            <c:numRef>
              <c:f>Sheet1!$Y$64</c:f>
              <c:numCache>
                <c:formatCode>General</c:formatCode>
                <c:ptCount val="1"/>
                <c:pt idx="0">
                  <c:v>0</c:v>
                </c:pt>
              </c:numCache>
            </c:numRef>
          </c:val>
          <c:extLst>
            <c:ext xmlns:c16="http://schemas.microsoft.com/office/drawing/2014/chart" uri="{C3380CC4-5D6E-409C-BE32-E72D297353CC}">
              <c16:uniqueId val="{00000001-494F-43AB-ABA5-4D4953CA11EB}"/>
            </c:ext>
          </c:extLst>
        </c:ser>
        <c:ser>
          <c:idx val="2"/>
          <c:order val="2"/>
          <c:tx>
            <c:strRef>
              <c:f>Sheet1!$Z$63</c:f>
              <c:strCache>
                <c:ptCount val="1"/>
                <c:pt idx="0">
                  <c:v>3</c:v>
                </c:pt>
              </c:strCache>
            </c:strRef>
          </c:tx>
          <c:spPr>
            <a:solidFill>
              <a:schemeClr val="accent5">
                <a:tint val="69000"/>
              </a:schemeClr>
            </a:solidFill>
            <a:ln>
              <a:noFill/>
            </a:ln>
            <a:effectLst/>
          </c:spPr>
          <c:invertIfNegative val="0"/>
          <c:val>
            <c:numRef>
              <c:f>Sheet1!$Z$64</c:f>
              <c:numCache>
                <c:formatCode>General</c:formatCode>
                <c:ptCount val="1"/>
                <c:pt idx="0">
                  <c:v>0</c:v>
                </c:pt>
              </c:numCache>
            </c:numRef>
          </c:val>
          <c:extLst>
            <c:ext xmlns:c16="http://schemas.microsoft.com/office/drawing/2014/chart" uri="{C3380CC4-5D6E-409C-BE32-E72D297353CC}">
              <c16:uniqueId val="{00000002-494F-43AB-ABA5-4D4953CA11EB}"/>
            </c:ext>
          </c:extLst>
        </c:ser>
        <c:ser>
          <c:idx val="3"/>
          <c:order val="3"/>
          <c:tx>
            <c:strRef>
              <c:f>Sheet1!$AA$63</c:f>
              <c:strCache>
                <c:ptCount val="1"/>
                <c:pt idx="0">
                  <c:v>4</c:v>
                </c:pt>
              </c:strCache>
            </c:strRef>
          </c:tx>
          <c:spPr>
            <a:solidFill>
              <a:schemeClr val="accent5">
                <a:tint val="81000"/>
              </a:schemeClr>
            </a:solidFill>
            <a:ln>
              <a:noFill/>
            </a:ln>
            <a:effectLst/>
          </c:spPr>
          <c:invertIfNegative val="0"/>
          <c:val>
            <c:numRef>
              <c:f>Sheet1!$AA$64</c:f>
              <c:numCache>
                <c:formatCode>General</c:formatCode>
                <c:ptCount val="1"/>
                <c:pt idx="0">
                  <c:v>1</c:v>
                </c:pt>
              </c:numCache>
            </c:numRef>
          </c:val>
          <c:extLst>
            <c:ext xmlns:c16="http://schemas.microsoft.com/office/drawing/2014/chart" uri="{C3380CC4-5D6E-409C-BE32-E72D297353CC}">
              <c16:uniqueId val="{00000003-494F-43AB-ABA5-4D4953CA11EB}"/>
            </c:ext>
          </c:extLst>
        </c:ser>
        <c:ser>
          <c:idx val="4"/>
          <c:order val="4"/>
          <c:tx>
            <c:strRef>
              <c:f>Sheet1!$AB$63</c:f>
              <c:strCache>
                <c:ptCount val="1"/>
                <c:pt idx="0">
                  <c:v>5</c:v>
                </c:pt>
              </c:strCache>
            </c:strRef>
          </c:tx>
          <c:spPr>
            <a:solidFill>
              <a:schemeClr val="accent5">
                <a:tint val="94000"/>
              </a:schemeClr>
            </a:solidFill>
            <a:ln>
              <a:noFill/>
            </a:ln>
            <a:effectLst/>
          </c:spPr>
          <c:invertIfNegative val="0"/>
          <c:val>
            <c:numRef>
              <c:f>Sheet1!$AB$64</c:f>
              <c:numCache>
                <c:formatCode>General</c:formatCode>
                <c:ptCount val="1"/>
                <c:pt idx="0">
                  <c:v>2</c:v>
                </c:pt>
              </c:numCache>
            </c:numRef>
          </c:val>
          <c:extLst>
            <c:ext xmlns:c16="http://schemas.microsoft.com/office/drawing/2014/chart" uri="{C3380CC4-5D6E-409C-BE32-E72D297353CC}">
              <c16:uniqueId val="{00000004-494F-43AB-ABA5-4D4953CA11EB}"/>
            </c:ext>
          </c:extLst>
        </c:ser>
        <c:ser>
          <c:idx val="5"/>
          <c:order val="5"/>
          <c:tx>
            <c:strRef>
              <c:f>Sheet1!$AC$63</c:f>
              <c:strCache>
                <c:ptCount val="1"/>
                <c:pt idx="0">
                  <c:v>6</c:v>
                </c:pt>
              </c:strCache>
            </c:strRef>
          </c:tx>
          <c:spPr>
            <a:solidFill>
              <a:schemeClr val="accent5">
                <a:shade val="93000"/>
              </a:schemeClr>
            </a:solidFill>
            <a:ln>
              <a:noFill/>
            </a:ln>
            <a:effectLst/>
          </c:spPr>
          <c:invertIfNegative val="0"/>
          <c:val>
            <c:numRef>
              <c:f>Sheet1!$AC$64</c:f>
              <c:numCache>
                <c:formatCode>General</c:formatCode>
                <c:ptCount val="1"/>
                <c:pt idx="0">
                  <c:v>5</c:v>
                </c:pt>
              </c:numCache>
            </c:numRef>
          </c:val>
          <c:extLst>
            <c:ext xmlns:c16="http://schemas.microsoft.com/office/drawing/2014/chart" uri="{C3380CC4-5D6E-409C-BE32-E72D297353CC}">
              <c16:uniqueId val="{00000005-494F-43AB-ABA5-4D4953CA11EB}"/>
            </c:ext>
          </c:extLst>
        </c:ser>
        <c:ser>
          <c:idx val="6"/>
          <c:order val="6"/>
          <c:tx>
            <c:strRef>
              <c:f>Sheet1!$AD$63</c:f>
              <c:strCache>
                <c:ptCount val="1"/>
                <c:pt idx="0">
                  <c:v>7</c:v>
                </c:pt>
              </c:strCache>
            </c:strRef>
          </c:tx>
          <c:spPr>
            <a:solidFill>
              <a:schemeClr val="accent5">
                <a:shade val="80000"/>
              </a:schemeClr>
            </a:solidFill>
            <a:ln>
              <a:noFill/>
            </a:ln>
            <a:effectLst/>
          </c:spPr>
          <c:invertIfNegative val="0"/>
          <c:val>
            <c:numRef>
              <c:f>Sheet1!$AD$64</c:f>
              <c:numCache>
                <c:formatCode>General</c:formatCode>
                <c:ptCount val="1"/>
                <c:pt idx="0">
                  <c:v>14</c:v>
                </c:pt>
              </c:numCache>
            </c:numRef>
          </c:val>
          <c:extLst>
            <c:ext xmlns:c16="http://schemas.microsoft.com/office/drawing/2014/chart" uri="{C3380CC4-5D6E-409C-BE32-E72D297353CC}">
              <c16:uniqueId val="{00000006-494F-43AB-ABA5-4D4953CA11EB}"/>
            </c:ext>
          </c:extLst>
        </c:ser>
        <c:ser>
          <c:idx val="7"/>
          <c:order val="7"/>
          <c:tx>
            <c:strRef>
              <c:f>Sheet1!$AE$63</c:f>
              <c:strCache>
                <c:ptCount val="1"/>
                <c:pt idx="0">
                  <c:v>8</c:v>
                </c:pt>
              </c:strCache>
            </c:strRef>
          </c:tx>
          <c:spPr>
            <a:solidFill>
              <a:schemeClr val="accent5">
                <a:shade val="68000"/>
              </a:schemeClr>
            </a:solidFill>
            <a:ln>
              <a:noFill/>
            </a:ln>
            <a:effectLst/>
          </c:spPr>
          <c:invertIfNegative val="0"/>
          <c:val>
            <c:numRef>
              <c:f>Sheet1!$AE$64</c:f>
              <c:numCache>
                <c:formatCode>General</c:formatCode>
                <c:ptCount val="1"/>
                <c:pt idx="0">
                  <c:v>14</c:v>
                </c:pt>
              </c:numCache>
            </c:numRef>
          </c:val>
          <c:extLst>
            <c:ext xmlns:c16="http://schemas.microsoft.com/office/drawing/2014/chart" uri="{C3380CC4-5D6E-409C-BE32-E72D297353CC}">
              <c16:uniqueId val="{00000007-494F-43AB-ABA5-4D4953CA11EB}"/>
            </c:ext>
          </c:extLst>
        </c:ser>
        <c:ser>
          <c:idx val="8"/>
          <c:order val="8"/>
          <c:tx>
            <c:strRef>
              <c:f>Sheet1!$AF$63</c:f>
              <c:strCache>
                <c:ptCount val="1"/>
                <c:pt idx="0">
                  <c:v>9</c:v>
                </c:pt>
              </c:strCache>
            </c:strRef>
          </c:tx>
          <c:spPr>
            <a:solidFill>
              <a:schemeClr val="accent5">
                <a:shade val="55000"/>
              </a:schemeClr>
            </a:solidFill>
            <a:ln>
              <a:noFill/>
            </a:ln>
            <a:effectLst/>
          </c:spPr>
          <c:invertIfNegative val="0"/>
          <c:val>
            <c:numRef>
              <c:f>Sheet1!$AF$64</c:f>
              <c:numCache>
                <c:formatCode>General</c:formatCode>
                <c:ptCount val="1"/>
                <c:pt idx="0">
                  <c:v>6</c:v>
                </c:pt>
              </c:numCache>
            </c:numRef>
          </c:val>
          <c:extLst>
            <c:ext xmlns:c16="http://schemas.microsoft.com/office/drawing/2014/chart" uri="{C3380CC4-5D6E-409C-BE32-E72D297353CC}">
              <c16:uniqueId val="{00000008-494F-43AB-ABA5-4D4953CA11EB}"/>
            </c:ext>
          </c:extLst>
        </c:ser>
        <c:ser>
          <c:idx val="9"/>
          <c:order val="9"/>
          <c:tx>
            <c:strRef>
              <c:f>Sheet1!$AG$63</c:f>
              <c:strCache>
                <c:ptCount val="1"/>
                <c:pt idx="0">
                  <c:v>10</c:v>
                </c:pt>
              </c:strCache>
            </c:strRef>
          </c:tx>
          <c:spPr>
            <a:solidFill>
              <a:schemeClr val="accent5">
                <a:shade val="42000"/>
              </a:schemeClr>
            </a:solidFill>
            <a:ln>
              <a:noFill/>
            </a:ln>
            <a:effectLst/>
          </c:spPr>
          <c:invertIfNegative val="0"/>
          <c:val>
            <c:numRef>
              <c:f>Sheet1!$AG$64</c:f>
              <c:numCache>
                <c:formatCode>General</c:formatCode>
                <c:ptCount val="1"/>
                <c:pt idx="0">
                  <c:v>6</c:v>
                </c:pt>
              </c:numCache>
            </c:numRef>
          </c:val>
          <c:extLst>
            <c:ext xmlns:c16="http://schemas.microsoft.com/office/drawing/2014/chart" uri="{C3380CC4-5D6E-409C-BE32-E72D297353CC}">
              <c16:uniqueId val="{00000009-494F-43AB-ABA5-4D4953CA11EB}"/>
            </c:ext>
          </c:extLst>
        </c:ser>
        <c:dLbls>
          <c:showLegendKey val="0"/>
          <c:showVal val="0"/>
          <c:showCatName val="0"/>
          <c:showSerName val="0"/>
          <c:showPercent val="0"/>
          <c:showBubbleSize val="0"/>
        </c:dLbls>
        <c:gapWidth val="219"/>
        <c:overlap val="-27"/>
        <c:axId val="1637829151"/>
        <c:axId val="1637837791"/>
      </c:barChart>
      <c:catAx>
        <c:axId val="163782915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837791"/>
        <c:crosses val="autoZero"/>
        <c:auto val="1"/>
        <c:lblAlgn val="ctr"/>
        <c:lblOffset val="100"/>
        <c:noMultiLvlLbl val="0"/>
      </c:catAx>
      <c:valAx>
        <c:axId val="1637837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829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1338678</xdr:colOff>
      <xdr:row>64</xdr:row>
      <xdr:rowOff>160814</xdr:rowOff>
    </xdr:from>
    <xdr:to>
      <xdr:col>8</xdr:col>
      <xdr:colOff>368611</xdr:colOff>
      <xdr:row>86</xdr:row>
      <xdr:rowOff>164722</xdr:rowOff>
    </xdr:to>
    <xdr:graphicFrame macro="">
      <xdr:nvGraphicFramePr>
        <xdr:cNvPr id="5" name="Chart 4">
          <a:extLst>
            <a:ext uri="{FF2B5EF4-FFF2-40B4-BE49-F238E27FC236}">
              <a16:creationId xmlns:a16="http://schemas.microsoft.com/office/drawing/2014/main" id="{143FA7F6-236E-F3EA-8434-48188D523F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195181</xdr:colOff>
      <xdr:row>115</xdr:row>
      <xdr:rowOff>6571</xdr:rowOff>
    </xdr:from>
    <xdr:to>
      <xdr:col>15</xdr:col>
      <xdr:colOff>1225638</xdr:colOff>
      <xdr:row>126</xdr:row>
      <xdr:rowOff>56813</xdr:rowOff>
    </xdr:to>
    <xdr:graphicFrame macro="">
      <xdr:nvGraphicFramePr>
        <xdr:cNvPr id="6" name="Chart 5">
          <a:extLst>
            <a:ext uri="{FF2B5EF4-FFF2-40B4-BE49-F238E27FC236}">
              <a16:creationId xmlns:a16="http://schemas.microsoft.com/office/drawing/2014/main" id="{BDFFC1EC-3EF0-325D-2531-7867FF377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6458</xdr:colOff>
      <xdr:row>115</xdr:row>
      <xdr:rowOff>718</xdr:rowOff>
    </xdr:from>
    <xdr:to>
      <xdr:col>18</xdr:col>
      <xdr:colOff>982902</xdr:colOff>
      <xdr:row>126</xdr:row>
      <xdr:rowOff>55653</xdr:rowOff>
    </xdr:to>
    <xdr:graphicFrame macro="">
      <xdr:nvGraphicFramePr>
        <xdr:cNvPr id="8" name="Chart 7">
          <a:extLst>
            <a:ext uri="{FF2B5EF4-FFF2-40B4-BE49-F238E27FC236}">
              <a16:creationId xmlns:a16="http://schemas.microsoft.com/office/drawing/2014/main" id="{CA25F8A3-DD33-C348-E053-731987D7BA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180674</xdr:colOff>
      <xdr:row>127</xdr:row>
      <xdr:rowOff>2447</xdr:rowOff>
    </xdr:from>
    <xdr:to>
      <xdr:col>15</xdr:col>
      <xdr:colOff>1191196</xdr:colOff>
      <xdr:row>138</xdr:row>
      <xdr:rowOff>96638</xdr:rowOff>
    </xdr:to>
    <xdr:graphicFrame macro="">
      <xdr:nvGraphicFramePr>
        <xdr:cNvPr id="9" name="Chart 8">
          <a:extLst>
            <a:ext uri="{FF2B5EF4-FFF2-40B4-BE49-F238E27FC236}">
              <a16:creationId xmlns:a16="http://schemas.microsoft.com/office/drawing/2014/main" id="{DEE70536-1F83-440E-A319-00D493AB08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2670</xdr:colOff>
      <xdr:row>127</xdr:row>
      <xdr:rowOff>2988</xdr:rowOff>
    </xdr:from>
    <xdr:to>
      <xdr:col>18</xdr:col>
      <xdr:colOff>942842</xdr:colOff>
      <xdr:row>138</xdr:row>
      <xdr:rowOff>103581</xdr:rowOff>
    </xdr:to>
    <xdr:graphicFrame macro="">
      <xdr:nvGraphicFramePr>
        <xdr:cNvPr id="10" name="Chart 9">
          <a:extLst>
            <a:ext uri="{FF2B5EF4-FFF2-40B4-BE49-F238E27FC236}">
              <a16:creationId xmlns:a16="http://schemas.microsoft.com/office/drawing/2014/main" id="{2849A970-329B-ABAF-D71C-8AAF5E89EB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1840</xdr:colOff>
      <xdr:row>64</xdr:row>
      <xdr:rowOff>167450</xdr:rowOff>
    </xdr:from>
    <xdr:to>
      <xdr:col>33</xdr:col>
      <xdr:colOff>2080</xdr:colOff>
      <xdr:row>85</xdr:row>
      <xdr:rowOff>167450</xdr:rowOff>
    </xdr:to>
    <xdr:graphicFrame macro="">
      <xdr:nvGraphicFramePr>
        <xdr:cNvPr id="3" name="Chart 2">
          <a:extLst>
            <a:ext uri="{FF2B5EF4-FFF2-40B4-BE49-F238E27FC236}">
              <a16:creationId xmlns:a16="http://schemas.microsoft.com/office/drawing/2014/main" id="{BE0CE101-2EE0-37DF-B129-1002989F13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U59" totalsRowShown="0">
  <autoFilter ref="A1:U59" xr:uid="{00000000-0009-0000-0100-000001000000}"/>
  <tableColumns count="21">
    <tableColumn id="1" xr3:uid="{00000000-0010-0000-0000-000001000000}" name="Id">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23">
      <extLst>
        <ext xmlns:xlmsforms="http://schemas.microsoft.com/office/spreadsheetml/2023/msForms" uri="{FCC71383-01E1-4257-9335-427F07BE8D7F}">
          <xlmsforms:question id="responder"/>
        </ext>
      </extLst>
    </tableColumn>
    <tableColumn id="5" xr3:uid="{00000000-0010-0000-0000-000005000000}" name="Name" dataDxfId="22">
      <extLst>
        <ext xmlns:xlmsforms="http://schemas.microsoft.com/office/spreadsheetml/2023/msForms" uri="{FCC71383-01E1-4257-9335-427F07BE8D7F}">
          <xlmsforms:question id="responderName"/>
        </ext>
      </extLst>
    </tableColumn>
    <tableColumn id="6" xr3:uid="{00000000-0010-0000-0000-000006000000}" name="Do you study physics?">
      <extLst>
        <ext xmlns:xlmsforms="http://schemas.microsoft.com/office/spreadsheetml/2023/msForms" uri="{FCC71383-01E1-4257-9335-427F07BE8D7F}">
          <xlmsforms:question id="r57708b3f8c944e9b9c743137caa3db42"/>
        </ext>
      </extLst>
    </tableColumn>
    <tableColumn id="7" xr3:uid="{00000000-0010-0000-0000-000007000000}" name="Astrophysics is the study of space, planets and stars." dataDxfId="21">
      <extLst>
        <ext xmlns:xlmsforms="http://schemas.microsoft.com/office/spreadsheetml/2023/msForms" uri="{FCC71383-01E1-4257-9335-427F07BE8D7F}">
          <xlmsforms:question id="ra6973a711efb4b43941c26a9223e8ea0"/>
        </ext>
      </extLst>
    </tableColumn>
    <tableColumn id="8" xr3:uid="{00000000-0010-0000-0000-000008000000}" name="Would you be interested in using an astrophysics simulator, like the one pictured?">
      <extLst>
        <ext xmlns:xlmsforms="http://schemas.microsoft.com/office/spreadsheetml/2023/msForms" uri="{FCC71383-01E1-4257-9335-427F07BE8D7F}">
          <xlmsforms:question id="r30189610537e421eb0314822aaec9376"/>
        </ext>
      </extLst>
    </tableColumn>
    <tableColumn id="9" xr3:uid="{00000000-0010-0000-0000-000009000000}" name="Why not?" dataDxfId="20">
      <extLst>
        <ext xmlns:xlmsforms="http://schemas.microsoft.com/office/spreadsheetml/2023/msForms" uri="{FCC71383-01E1-4257-9335-427F07BE8D7F}">
          <xlmsforms:question id="r782bac4329f94da4af0e3ee414e14270"/>
        </ext>
      </extLst>
    </tableColumn>
    <tableColumn id="10" xr3:uid="{00000000-0010-0000-0000-00000A000000}" name="how would you rank each of these UIs (user interfaces)?" dataDxfId="19">
      <extLst>
        <ext xmlns:xlmsforms="http://schemas.microsoft.com/office/spreadsheetml/2023/msForms" uri="{FCC71383-01E1-4257-9335-427F07BE8D7F}">
          <xlmsforms:question id="r174745f3b7b841ddb24889d0cc971529"/>
        </ext>
      </extLst>
    </tableColumn>
    <tableColumn id="11" xr3:uid="{00000000-0010-0000-0000-00000B000000}" name="What did you like the most about your top choice?" dataDxfId="18">
      <extLst>
        <ext xmlns:xlmsforms="http://schemas.microsoft.com/office/spreadsheetml/2023/msForms" uri="{FCC71383-01E1-4257-9335-427F07BE8D7F}">
          <xlmsforms:question id="rb6eef8269cb54bb69e53c8f620c9ef16"/>
        </ext>
      </extLst>
    </tableColumn>
    <tableColumn id="12" xr3:uid="{00000000-0010-0000-0000-00000C000000}" name="How important would you say each of these features are in an astrophysics simulator?.Orbital trajectories" dataDxfId="17">
      <extLst>
        <ext xmlns:xlmsforms="http://schemas.microsoft.com/office/spreadsheetml/2023/msForms" uri="{FCC71383-01E1-4257-9335-427F07BE8D7F}">
          <xlmsforms:question id="rf1f1934f0a144d71a9ec4b6f4e47db4b"/>
        </ext>
      </extLst>
    </tableColumn>
    <tableColumn id="13" xr3:uid="{00000000-0010-0000-0000-00000D000000}" name="How important would you say each of these features are in an astrophysics simulator?.Apoapsis / Periapsis" dataDxfId="16">
      <extLst>
        <ext xmlns:xlmsforms="http://schemas.microsoft.com/office/spreadsheetml/2023/msForms" uri="{FCC71383-01E1-4257-9335-427F07BE8D7F}">
          <xlmsforms:question id="r4ef6342326814402b70606a61c879f7f"/>
        </ext>
      </extLst>
    </tableColumn>
    <tableColumn id="14" xr3:uid="{00000000-0010-0000-0000-00000E000000}" name="How important would you say each of these features are in an astrophysics simulator?.Time fastforwarding / rewinding" dataDxfId="15">
      <extLst>
        <ext xmlns:xlmsforms="http://schemas.microsoft.com/office/spreadsheetml/2023/msForms" uri="{FCC71383-01E1-4257-9335-427F07BE8D7F}">
          <xlmsforms:question id="rdece63179bb14115a9a7c61b3129b1b7"/>
        </ext>
      </extLst>
    </tableColumn>
    <tableColumn id="15" xr3:uid="{00000000-0010-0000-0000-00000F000000}" name="How important would you say each of these features are in an astrophysics simulator?.Asteroids / other celestial objects" dataDxfId="14">
      <extLst>
        <ext xmlns:xlmsforms="http://schemas.microsoft.com/office/spreadsheetml/2023/msForms" uri="{FCC71383-01E1-4257-9335-427F07BE8D7F}">
          <xlmsforms:question id="r2de617b1912a4438b9160300096b9716"/>
        </ext>
      </extLst>
    </tableColumn>
    <tableColumn id="16" xr3:uid="{00000000-0010-0000-0000-000010000000}" name="How important would you say each of these features are in an astrophysics simulator?.Force overlays" dataDxfId="13">
      <extLst>
        <ext xmlns:xlmsforms="http://schemas.microsoft.com/office/spreadsheetml/2023/msForms" uri="{FCC71383-01E1-4257-9335-427F07BE8D7F}">
          <xlmsforms:question id="r66ddfee47c4b472b9f034f785cdc0150"/>
        </ext>
      </extLst>
    </tableColumn>
    <tableColumn id="17" xr3:uid="{00000000-0010-0000-0000-000011000000}" name="How important would you say each of these features are in an astrophysics simulator?.Realistic textures for planets and background" dataDxfId="12">
      <extLst>
        <ext xmlns:xlmsforms="http://schemas.microsoft.com/office/spreadsheetml/2023/msForms" uri="{FCC71383-01E1-4257-9335-427F07BE8D7F}">
          <xlmsforms:question id="r7cf67cf4a2bc42ab9365676e5de5ab6c"/>
        </ext>
      </extLst>
    </tableColumn>
    <tableColumn id="18" xr3:uid="{00000000-0010-0000-0000-000012000000}" name="How important would you say each of these features are in an astrophysics simulator?.Being able to alter the properties of a planet halfway through" dataDxfId="11">
      <extLst>
        <ext xmlns:xlmsforms="http://schemas.microsoft.com/office/spreadsheetml/2023/msForms" uri="{FCC71383-01E1-4257-9335-427F07BE8D7F}">
          <xlmsforms:question id="r28ad374ba686464296fe990a8c1ecb05"/>
        </ext>
      </extLst>
    </tableColumn>
    <tableColumn id="19" xr3:uid="{00000000-0010-0000-0000-000013000000}" name="How important would you say each of these features are in an astrophysics simulator?.A fancier, more polished UI" dataDxfId="10">
      <extLst>
        <ext xmlns:xlmsforms="http://schemas.microsoft.com/office/spreadsheetml/2023/msForms" uri="{FCC71383-01E1-4257-9335-427F07BE8D7F}">
          <xlmsforms:question id="r63d6de72242344fb9ab3e352574c1a5f"/>
        </ext>
      </extLst>
    </tableColumn>
    <tableColumn id="20" xr3:uid="{00000000-0010-0000-0000-000014000000}" name="How much would this program interest you / help you learn more about astrophysics?" dataDxfId="9">
      <extLst>
        <ext xmlns:xlmsforms="http://schemas.microsoft.com/office/spreadsheetml/2023/msForms" uri="{FCC71383-01E1-4257-9335-427F07BE8D7F}">
          <xlmsforms:question id="ra1d17141c13c4f3f88df7eaefec231c9"/>
        </ext>
      </extLst>
    </tableColumn>
    <tableColumn id="21" xr3:uid="{00000000-0010-0000-0000-000015000000}" name="What would you add to this program to make it more interesting / help you learn more?" dataDxfId="8">
      <extLst>
        <ext xmlns:xlmsforms="http://schemas.microsoft.com/office/spreadsheetml/2023/msForms" uri="{FCC71383-01E1-4257-9335-427F07BE8D7F}">
          <xlmsforms:question id="r4508cc1efc47460886fa7ede69db0f50"/>
        </ext>
      </extLst>
    </tableColumn>
  </tableColumns>
  <tableStyleInfo name="TableStyleMedium2" showFirstColumn="0" showLastColumn="0" showRowStripes="1" showColumnStripes="0"/>
  <extLst>
    <ext xmlns:xlmsforms="http://schemas.microsoft.com/office/spreadsheetml/2023/msForms" uri="{839C7E11-91E4-4DBD-9C5D-0DEA604FA9AC}">
      <xlmsforms:msForm id="m7bng7OOpkW6tSLjFHZBd9GY-n3Qgr1NqA3Wam6XGc9URDZHNEJTTzZUR1AzRVVOS0dDM1RBQUtHNi4u" isFormConnected="1" maxResponseId="60"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r57708b3f8c944e9b9c743137caa3db42</xlmsforms:syncedQuestionId>
        <xlmsforms:syncedQuestionId>ra6973a711efb4b43941c26a9223e8ea0</xlmsforms:syncedQuestionId>
        <xlmsforms:syncedQuestionId>r30189610537e421eb0314822aaec9376</xlmsforms:syncedQuestionId>
        <xlmsforms:syncedQuestionId>r782bac4329f94da4af0e3ee414e14270</xlmsforms:syncedQuestionId>
        <xlmsforms:syncedQuestionId>r174745f3b7b841ddb24889d0cc971529</xlmsforms:syncedQuestionId>
        <xlmsforms:syncedQuestionId>rb6eef8269cb54bb69e53c8f620c9ef16</xlmsforms:syncedQuestionId>
        <xlmsforms:syncedQuestionId>rf1f1934f0a144d71a9ec4b6f4e47db4b</xlmsforms:syncedQuestionId>
        <xlmsforms:syncedQuestionId>r4ef6342326814402b70606a61c879f7f</xlmsforms:syncedQuestionId>
        <xlmsforms:syncedQuestionId>rdece63179bb14115a9a7c61b3129b1b7</xlmsforms:syncedQuestionId>
        <xlmsforms:syncedQuestionId>r2de617b1912a4438b9160300096b9716</xlmsforms:syncedQuestionId>
        <xlmsforms:syncedQuestionId>r66ddfee47c4b472b9f034f785cdc0150</xlmsforms:syncedQuestionId>
        <xlmsforms:syncedQuestionId>r7cf67cf4a2bc42ab9365676e5de5ab6c</xlmsforms:syncedQuestionId>
        <xlmsforms:syncedQuestionId>r28ad374ba686464296fe990a8c1ecb05</xlmsforms:syncedQuestionId>
        <xlmsforms:syncedQuestionId>r63d6de72242344fb9ab3e352574c1a5f</xlmsforms:syncedQuestionId>
        <xlmsforms:syncedQuestionId>ra1d17141c13c4f3f88df7eaefec231c9</xlmsforms:syncedQuestionId>
        <xlmsforms:syncedQuestionId>r4508cc1efc47460886fa7ede69db0f50</xlmsforms:syncedQuestionId>
      </xlmsforms:msForm>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98B410-A7FE-42AC-9B0E-7873210EDF7F}" name="Table3" displayName="Table3" ref="F61:H62" totalsRowShown="0">
  <autoFilter ref="F61:H62" xr:uid="{0598B410-A7FE-42AC-9B0E-7873210EDF7F}"/>
  <tableColumns count="3">
    <tableColumn id="1" xr3:uid="{62140198-6017-458B-AB74-638976053180}" name="Yes" dataDxfId="7">
      <calculatedColumnFormula array="1">SUMPRODUCT(SUBTOTAL(103,OFFSET(H2,ROW(H2:H59)-ROW(H2),0))*(H2:H59="Yes"))</calculatedColumnFormula>
    </tableColumn>
    <tableColumn id="2" xr3:uid="{93953726-5F79-4878-B67B-95ADBE4B9676}" name="No">
      <calculatedColumnFormula array="1">SUMPRODUCT(SUBTOTAL(103,OFFSET(H2,ROW(H2:H59)-ROW(H2),0))*(H2:H59="no"))</calculatedColumnFormula>
    </tableColumn>
    <tableColumn id="3" xr3:uid="{08AB7CE5-86A4-44C7-8D84-E659217F9B70}" name="Maybe">
      <calculatedColumnFormula array="1">SUMPRODUCT(SUBTOTAL(103,OFFSET(H2,ROW(H2:H59)-ROW(H2),0))*(H2:H59="maybe"))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80C3C2-31F8-41C0-8FED-D270E82AB471}" name="Table2" displayName="Table2" ref="L62:P111" totalsRowShown="0">
  <autoFilter ref="L62:P111" xr:uid="{7680C3C2-31F8-41C0-8FED-D270E82AB471}"/>
  <tableColumns count="5">
    <tableColumn id="1" xr3:uid="{9C8119F4-90EC-486B-9DF2-4759FDD7C71D}" name="Do you study physics?" dataDxfId="6"/>
    <tableColumn id="2" xr3:uid="{C7B20695-E302-4687-AE0C-840B79B80FC9}" name="First choice" dataDxfId="5"/>
    <tableColumn id="3" xr3:uid="{F98113C2-F2E2-4208-9584-D980FC461450}" name="Second choice"/>
    <tableColumn id="4" xr3:uid="{C0F69BF6-2908-49E4-84D3-FF4EF35E6C3E}" name="Third choice"/>
    <tableColumn id="5" xr3:uid="{B4F2F5AD-22DD-48C0-8F20-83FA1C80C6CB}" name="Fourth choic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C6A0963-E103-4BFF-AD3D-E542B7C90827}" name="Table7" displayName="Table7" ref="L116:M120" totalsRowShown="0">
  <autoFilter ref="L116:M120" xr:uid="{5C6A0963-E103-4BFF-AD3D-E542B7C90827}"/>
  <tableColumns count="2">
    <tableColumn id="1" xr3:uid="{28E99B77-C1FD-43A8-A812-7CF8261D10E6}" name=" "/>
    <tableColumn id="2" xr3:uid="{31152DC6-DF68-4B09-A055-10B40BD4C952}" name="First choice" dataDxfId="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4A240A0-E0F5-4F1D-950E-C4AC3F347601}" name="Table8" displayName="Table8" ref="L122:M126" totalsRowShown="0">
  <autoFilter ref="L122:M126" xr:uid="{84A240A0-E0F5-4F1D-950E-C4AC3F347601}"/>
  <tableColumns count="2">
    <tableColumn id="1" xr3:uid="{211FDA90-DCFE-4708-B688-6BE46A654858}" name=" "/>
    <tableColumn id="2" xr3:uid="{62C7916F-8C9F-4E18-89AA-EFBE09843C56}" name="Second choice" dataDxfId="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DD66632-3E16-4491-8E76-4D53310EE4C0}" name="Table9" displayName="Table9" ref="L128:M131" totalsRowShown="0">
  <autoFilter ref="L128:M131" xr:uid="{ADD66632-3E16-4491-8E76-4D53310EE4C0}"/>
  <tableColumns count="2">
    <tableColumn id="1" xr3:uid="{BD902A78-FF97-445E-A991-658C7E8C1F0E}" name=" "/>
    <tableColumn id="2" xr3:uid="{A0D22E2C-DA09-4A5C-8077-D8B5F7340832}" name="Third choice" dataDxfId="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1A03379-8A8C-42F6-973E-F9523362C435}" name="Table10" displayName="Table10" ref="L134:M138" totalsRowShown="0">
  <autoFilter ref="L134:M138" xr:uid="{41A03379-8A8C-42F6-973E-F9523362C435}"/>
  <tableColumns count="2">
    <tableColumn id="1" xr3:uid="{8A826B6B-525A-4231-8A6B-8C487CAC259D}" name=" "/>
    <tableColumn id="2" xr3:uid="{B6BFCD29-3E0C-4ED0-BBF3-84A31681CB3A}" name="Fourth choice" dataDxfId="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6932C6-621C-4A5A-A232-77AB1A7B9F3C}" name="Table4" displayName="Table4" ref="W63:AG64" totalsRowShown="0">
  <autoFilter ref="W63:AG64" xr:uid="{C96932C6-621C-4A5A-A232-77AB1A7B9F3C}"/>
  <tableColumns count="11">
    <tableColumn id="1" xr3:uid="{4FC57126-1C9E-4990-8B2A-71EC3046B1C0}" name="Rating"/>
    <tableColumn id="2" xr3:uid="{F8AF3E41-DCF3-4298-AD79-56F451D56CC4}" name="1">
      <calculatedColumnFormula array="1">SUMPRODUCT(SUBTOTAL(103,OFFSET(T2,ROW(T2:T51)-ROW(T2),0))*(T2:T51=1))</calculatedColumnFormula>
    </tableColumn>
    <tableColumn id="3" xr3:uid="{BA3FC925-46A3-421B-86E6-36028708A1AE}" name="2">
      <calculatedColumnFormula array="1">SUMPRODUCT(SUBTOTAL(103,OFFSET(T2,ROW(T2:T51)-ROW(T2),0))*(T2:T51=2))</calculatedColumnFormula>
    </tableColumn>
    <tableColumn id="4" xr3:uid="{CEC3EC4A-89CD-4DAE-96D1-5DFA81F04BA6}" name="3">
      <calculatedColumnFormula array="1">SUMPRODUCT(SUBTOTAL(103,OFFSET(T2,ROW(T2:T51)-ROW(T2),0))*(T2:T51=3))</calculatedColumnFormula>
    </tableColumn>
    <tableColumn id="5" xr3:uid="{046A5DEE-62D8-4C5C-BFB1-F19C0264D796}" name="4">
      <calculatedColumnFormula array="1">SUMPRODUCT(SUBTOTAL(103,OFFSET(T2,ROW(T2:T51)-ROW(T2),0))*(T2:T51=4))</calculatedColumnFormula>
    </tableColumn>
    <tableColumn id="6" xr3:uid="{D3CAFB8E-ABAB-49A9-858A-0D5337298F9C}" name="5">
      <calculatedColumnFormula array="1">SUMPRODUCT(SUBTOTAL(103,OFFSET(T2,ROW(T2:T51)-ROW(T2),0))*(T2:T51=5))</calculatedColumnFormula>
    </tableColumn>
    <tableColumn id="7" xr3:uid="{2EE9712F-3267-410E-B8AB-50ACBA94F2B1}" name="6">
      <calculatedColumnFormula array="1">SUMPRODUCT(SUBTOTAL(103,OFFSET(T2,ROW(T2:T51)-ROW(T2),0))*(T2:T51=6))</calculatedColumnFormula>
    </tableColumn>
    <tableColumn id="8" xr3:uid="{D2521658-FEAB-49B7-B604-60EF7E4B040E}" name="7">
      <calculatedColumnFormula array="1">SUMPRODUCT(SUBTOTAL(103,OFFSET(T2,ROW(T2:T51)-ROW(T2),0))*(T2:T51=7))</calculatedColumnFormula>
    </tableColumn>
    <tableColumn id="9" xr3:uid="{1897AB98-1B2E-425E-B6C2-2F7033856837}" name="8" dataDxfId="0">
      <calculatedColumnFormula array="1">SUMPRODUCT(SUBTOTAL(103,OFFSET(T2,ROW(T2:T51)-ROW(T2),0))*(T2:T51=8))</calculatedColumnFormula>
    </tableColumn>
    <tableColumn id="10" xr3:uid="{5B558F11-B2A3-4319-B916-D3BEE62C8556}" name="9">
      <calculatedColumnFormula array="1">SUMPRODUCT(SUBTOTAL(103,OFFSET(T2,ROW(T2:T51)-ROW(T2),0))*(T2:T51=9))</calculatedColumnFormula>
    </tableColumn>
    <tableColumn id="11" xr3:uid="{D84D1F3F-6960-4930-AC34-B16EAEBCF1B7}" name="10">
      <calculatedColumnFormula array="1">SUMPRODUCT(SUBTOTAL(103,OFFSET(T2,ROW(T2:T51)-ROW(T2),0))*(T2:T51=10))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4.xml"/><Relationship Id="rId5" Type="http://schemas.openxmlformats.org/officeDocument/2006/relationships/table" Target="../tables/table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38"/>
  <sheetViews>
    <sheetView tabSelected="1" topLeftCell="S91" zoomScale="189" zoomScaleNormal="85" workbookViewId="0">
      <selection activeCell="U119" sqref="U119"/>
    </sheetView>
  </sheetViews>
  <sheetFormatPr defaultRowHeight="14.5" x14ac:dyDescent="0.35"/>
  <cols>
    <col min="1" max="4" width="20" bestFit="1" customWidth="1"/>
    <col min="5" max="5" width="4.90625" customWidth="1"/>
    <col min="6" max="6" width="8.08984375" customWidth="1"/>
    <col min="7" max="7" width="7.7265625" customWidth="1"/>
    <col min="8" max="8" width="20" bestFit="1" customWidth="1"/>
    <col min="9" max="9" width="14.7265625" customWidth="1"/>
    <col min="10" max="10" width="21.453125" customWidth="1"/>
    <col min="11" max="11" width="111" customWidth="1"/>
    <col min="12" max="19" width="20" bestFit="1" customWidth="1"/>
    <col min="20" max="20" width="3.36328125" customWidth="1"/>
    <col min="21" max="21" width="231.7265625" customWidth="1"/>
    <col min="23" max="23" width="9.81640625" customWidth="1"/>
  </cols>
  <sheetData>
    <row r="1" spans="1:21" x14ac:dyDescent="0.35">
      <c r="A1" s="1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s="12">
        <v>4</v>
      </c>
      <c r="B2" s="2">
        <v>46162.455821759257</v>
      </c>
      <c r="C2" s="2">
        <v>46162.457546296297</v>
      </c>
      <c r="D2" t="s">
        <v>21</v>
      </c>
      <c r="F2" s="12" t="s">
        <v>22</v>
      </c>
      <c r="H2" s="12" t="s">
        <v>23</v>
      </c>
      <c r="J2" t="s">
        <v>24</v>
      </c>
      <c r="K2" t="s">
        <v>25</v>
      </c>
      <c r="L2" t="s">
        <v>26</v>
      </c>
      <c r="M2" t="s">
        <v>26</v>
      </c>
      <c r="N2" t="s">
        <v>27</v>
      </c>
      <c r="O2" t="s">
        <v>27</v>
      </c>
      <c r="P2" t="s">
        <v>28</v>
      </c>
      <c r="Q2" t="s">
        <v>26</v>
      </c>
      <c r="R2" t="s">
        <v>27</v>
      </c>
      <c r="S2" t="s">
        <v>27</v>
      </c>
      <c r="T2">
        <v>7</v>
      </c>
      <c r="U2" t="s">
        <v>29</v>
      </c>
    </row>
    <row r="3" spans="1:21" x14ac:dyDescent="0.35">
      <c r="A3" s="13">
        <v>5</v>
      </c>
      <c r="B3" s="2">
        <v>46162.455648148149</v>
      </c>
      <c r="C3" s="2">
        <v>46162.459363425929</v>
      </c>
      <c r="D3" t="s">
        <v>21</v>
      </c>
      <c r="F3" s="13" t="s">
        <v>30</v>
      </c>
      <c r="H3" s="13" t="s">
        <v>30</v>
      </c>
      <c r="J3" t="s">
        <v>31</v>
      </c>
      <c r="K3" t="s">
        <v>32</v>
      </c>
      <c r="L3" t="s">
        <v>27</v>
      </c>
      <c r="M3" t="s">
        <v>27</v>
      </c>
      <c r="N3" t="s">
        <v>33</v>
      </c>
      <c r="O3" t="s">
        <v>27</v>
      </c>
      <c r="P3" t="s">
        <v>27</v>
      </c>
      <c r="Q3" t="s">
        <v>28</v>
      </c>
      <c r="R3" t="s">
        <v>27</v>
      </c>
      <c r="S3" t="s">
        <v>33</v>
      </c>
      <c r="T3">
        <v>10</v>
      </c>
      <c r="U3" t="s">
        <v>34</v>
      </c>
    </row>
    <row r="4" spans="1:21" x14ac:dyDescent="0.35">
      <c r="A4" s="12">
        <v>6</v>
      </c>
      <c r="B4" s="2">
        <v>46162.458703703705</v>
      </c>
      <c r="C4" s="2">
        <v>46162.461354166669</v>
      </c>
      <c r="D4" t="s">
        <v>21</v>
      </c>
      <c r="F4" s="12" t="s">
        <v>30</v>
      </c>
      <c r="H4" s="12" t="s">
        <v>30</v>
      </c>
      <c r="J4" t="s">
        <v>35</v>
      </c>
      <c r="K4" t="s">
        <v>36</v>
      </c>
      <c r="L4" t="s">
        <v>33</v>
      </c>
      <c r="M4" t="s">
        <v>33</v>
      </c>
      <c r="N4" t="s">
        <v>27</v>
      </c>
      <c r="O4" t="s">
        <v>26</v>
      </c>
      <c r="P4" t="s">
        <v>26</v>
      </c>
      <c r="Q4" t="s">
        <v>28</v>
      </c>
      <c r="R4" t="s">
        <v>26</v>
      </c>
      <c r="S4" t="s">
        <v>28</v>
      </c>
      <c r="T4">
        <v>7</v>
      </c>
      <c r="U4" t="s">
        <v>37</v>
      </c>
    </row>
    <row r="5" spans="1:21" x14ac:dyDescent="0.35">
      <c r="A5" s="13">
        <v>7</v>
      </c>
      <c r="B5" s="2">
        <v>46162.465208333335</v>
      </c>
      <c r="C5" s="2">
        <v>46162.467129629629</v>
      </c>
      <c r="D5" t="s">
        <v>21</v>
      </c>
      <c r="F5" s="13" t="s">
        <v>22</v>
      </c>
      <c r="H5" s="13" t="s">
        <v>30</v>
      </c>
      <c r="J5" t="s">
        <v>38</v>
      </c>
      <c r="K5" t="s">
        <v>39</v>
      </c>
      <c r="L5" t="s">
        <v>27</v>
      </c>
      <c r="M5" t="s">
        <v>28</v>
      </c>
      <c r="N5" t="s">
        <v>27</v>
      </c>
      <c r="O5" t="s">
        <v>27</v>
      </c>
      <c r="P5" t="s">
        <v>33</v>
      </c>
      <c r="Q5" t="s">
        <v>27</v>
      </c>
      <c r="R5" t="s">
        <v>26</v>
      </c>
      <c r="S5" t="s">
        <v>33</v>
      </c>
      <c r="T5">
        <v>9</v>
      </c>
      <c r="U5" t="s">
        <v>40</v>
      </c>
    </row>
    <row r="6" spans="1:21" x14ac:dyDescent="0.35">
      <c r="A6" s="12">
        <v>8</v>
      </c>
      <c r="B6" s="2">
        <v>46162.569027777776</v>
      </c>
      <c r="C6" s="2">
        <v>46162.570127314815</v>
      </c>
      <c r="D6" t="s">
        <v>21</v>
      </c>
      <c r="F6" s="12" t="s">
        <v>30</v>
      </c>
      <c r="H6" s="12" t="s">
        <v>30</v>
      </c>
      <c r="J6" t="s">
        <v>41</v>
      </c>
      <c r="K6" t="s">
        <v>42</v>
      </c>
      <c r="L6" t="s">
        <v>27</v>
      </c>
      <c r="M6" t="s">
        <v>33</v>
      </c>
      <c r="N6" t="s">
        <v>33</v>
      </c>
      <c r="O6" t="s">
        <v>26</v>
      </c>
      <c r="P6" t="s">
        <v>26</v>
      </c>
      <c r="Q6" t="s">
        <v>33</v>
      </c>
      <c r="R6" t="s">
        <v>26</v>
      </c>
      <c r="S6" t="s">
        <v>33</v>
      </c>
      <c r="T6">
        <v>8</v>
      </c>
      <c r="U6" t="s">
        <v>43</v>
      </c>
    </row>
    <row r="7" spans="1:21" x14ac:dyDescent="0.35">
      <c r="A7" s="13">
        <v>9</v>
      </c>
      <c r="B7" s="2">
        <v>46162.568993055553</v>
      </c>
      <c r="C7" s="2">
        <v>46162.5702662037</v>
      </c>
      <c r="D7" t="s">
        <v>21</v>
      </c>
      <c r="F7" s="13" t="s">
        <v>30</v>
      </c>
      <c r="H7" s="13" t="s">
        <v>30</v>
      </c>
      <c r="J7" t="s">
        <v>24</v>
      </c>
      <c r="K7" t="s">
        <v>44</v>
      </c>
      <c r="L7" t="s">
        <v>27</v>
      </c>
      <c r="M7" t="s">
        <v>33</v>
      </c>
      <c r="N7" t="s">
        <v>33</v>
      </c>
      <c r="O7" t="s">
        <v>33</v>
      </c>
      <c r="P7" t="s">
        <v>33</v>
      </c>
      <c r="Q7" t="s">
        <v>33</v>
      </c>
      <c r="R7" t="s">
        <v>33</v>
      </c>
      <c r="S7" t="s">
        <v>27</v>
      </c>
      <c r="T7">
        <v>7</v>
      </c>
      <c r="U7" t="s">
        <v>45</v>
      </c>
    </row>
    <row r="8" spans="1:21" x14ac:dyDescent="0.35">
      <c r="A8" s="12">
        <v>10</v>
      </c>
      <c r="B8" s="2">
        <v>46162.570509259262</v>
      </c>
      <c r="C8" s="2">
        <v>46162.571192129632</v>
      </c>
      <c r="D8" t="s">
        <v>21</v>
      </c>
      <c r="F8" s="12" t="s">
        <v>30</v>
      </c>
      <c r="H8" s="12" t="s">
        <v>23</v>
      </c>
      <c r="J8" t="s">
        <v>46</v>
      </c>
      <c r="K8" t="s">
        <v>47</v>
      </c>
      <c r="L8" t="s">
        <v>33</v>
      </c>
      <c r="M8" t="s">
        <v>26</v>
      </c>
      <c r="N8" t="s">
        <v>26</v>
      </c>
      <c r="O8" t="s">
        <v>26</v>
      </c>
      <c r="P8" t="s">
        <v>26</v>
      </c>
      <c r="Q8" t="s">
        <v>26</v>
      </c>
      <c r="R8" t="s">
        <v>26</v>
      </c>
      <c r="S8" t="s">
        <v>26</v>
      </c>
      <c r="T8">
        <v>6</v>
      </c>
      <c r="U8" t="s">
        <v>48</v>
      </c>
    </row>
    <row r="9" spans="1:21" x14ac:dyDescent="0.35">
      <c r="A9" s="13">
        <v>11</v>
      </c>
      <c r="B9" s="2">
        <v>46162.570567129631</v>
      </c>
      <c r="C9" s="2">
        <v>46162.571423611109</v>
      </c>
      <c r="D9" t="s">
        <v>21</v>
      </c>
      <c r="F9" s="13" t="s">
        <v>22</v>
      </c>
      <c r="H9" s="13" t="s">
        <v>30</v>
      </c>
      <c r="J9" t="s">
        <v>24</v>
      </c>
      <c r="K9" t="s">
        <v>49</v>
      </c>
      <c r="L9" t="s">
        <v>27</v>
      </c>
      <c r="M9" t="s">
        <v>27</v>
      </c>
      <c r="N9" t="s">
        <v>27</v>
      </c>
      <c r="O9" t="s">
        <v>27</v>
      </c>
      <c r="P9" t="s">
        <v>27</v>
      </c>
      <c r="Q9" t="s">
        <v>27</v>
      </c>
      <c r="R9" t="s">
        <v>27</v>
      </c>
      <c r="S9" t="s">
        <v>27</v>
      </c>
      <c r="T9">
        <v>10</v>
      </c>
      <c r="U9" t="s">
        <v>50</v>
      </c>
    </row>
    <row r="10" spans="1:21" x14ac:dyDescent="0.35">
      <c r="A10" s="12">
        <v>12</v>
      </c>
      <c r="B10" s="2">
        <v>46162.574432870373</v>
      </c>
      <c r="C10" s="2">
        <v>46162.576145833336</v>
      </c>
      <c r="D10" t="s">
        <v>21</v>
      </c>
      <c r="F10" s="12" t="s">
        <v>30</v>
      </c>
      <c r="H10" s="12" t="s">
        <v>30</v>
      </c>
      <c r="J10" t="s">
        <v>51</v>
      </c>
      <c r="K10" t="s">
        <v>52</v>
      </c>
      <c r="L10" t="s">
        <v>27</v>
      </c>
      <c r="M10" t="s">
        <v>33</v>
      </c>
      <c r="N10" t="s">
        <v>26</v>
      </c>
      <c r="O10" t="s">
        <v>28</v>
      </c>
      <c r="P10" t="s">
        <v>33</v>
      </c>
      <c r="Q10" t="s">
        <v>26</v>
      </c>
      <c r="R10" t="s">
        <v>26</v>
      </c>
      <c r="S10" t="s">
        <v>33</v>
      </c>
      <c r="T10">
        <v>7</v>
      </c>
      <c r="U10" t="s">
        <v>53</v>
      </c>
    </row>
    <row r="11" spans="1:21" x14ac:dyDescent="0.35">
      <c r="A11" s="13">
        <v>13</v>
      </c>
      <c r="B11" s="2">
        <v>46162.588807870372</v>
      </c>
      <c r="C11" s="2">
        <v>46162.590312499997</v>
      </c>
      <c r="D11" t="s">
        <v>21</v>
      </c>
      <c r="F11" s="13" t="s">
        <v>22</v>
      </c>
      <c r="H11" s="13" t="s">
        <v>30</v>
      </c>
      <c r="J11" t="s">
        <v>38</v>
      </c>
      <c r="K11" t="s">
        <v>54</v>
      </c>
      <c r="L11" t="s">
        <v>27</v>
      </c>
      <c r="M11" t="s">
        <v>33</v>
      </c>
      <c r="N11" t="s">
        <v>27</v>
      </c>
      <c r="O11" t="s">
        <v>26</v>
      </c>
      <c r="P11" t="s">
        <v>27</v>
      </c>
      <c r="Q11" t="s">
        <v>33</v>
      </c>
      <c r="R11" t="s">
        <v>27</v>
      </c>
      <c r="S11" t="s">
        <v>27</v>
      </c>
      <c r="T11">
        <v>8</v>
      </c>
      <c r="U11" t="s">
        <v>55</v>
      </c>
    </row>
    <row r="12" spans="1:21" x14ac:dyDescent="0.35">
      <c r="A12" s="12">
        <v>14</v>
      </c>
      <c r="B12" s="2">
        <v>46162.5934375</v>
      </c>
      <c r="C12" s="2">
        <v>46162.597731481481</v>
      </c>
      <c r="D12" t="s">
        <v>21</v>
      </c>
      <c r="F12" s="12" t="s">
        <v>30</v>
      </c>
      <c r="H12" s="12" t="s">
        <v>23</v>
      </c>
      <c r="J12" t="s">
        <v>56</v>
      </c>
      <c r="K12" t="s">
        <v>57</v>
      </c>
      <c r="L12" t="s">
        <v>27</v>
      </c>
      <c r="M12" t="s">
        <v>27</v>
      </c>
      <c r="N12" t="s">
        <v>26</v>
      </c>
      <c r="O12" t="s">
        <v>33</v>
      </c>
      <c r="P12" t="s">
        <v>26</v>
      </c>
      <c r="Q12" t="s">
        <v>28</v>
      </c>
      <c r="R12" t="s">
        <v>26</v>
      </c>
      <c r="S12" t="s">
        <v>33</v>
      </c>
      <c r="T12">
        <v>7</v>
      </c>
      <c r="U12" t="s">
        <v>58</v>
      </c>
    </row>
    <row r="13" spans="1:21" x14ac:dyDescent="0.35">
      <c r="A13" s="13">
        <v>16</v>
      </c>
      <c r="B13" s="2">
        <v>46162.601030092592</v>
      </c>
      <c r="C13" s="2">
        <v>46162.603217592594</v>
      </c>
      <c r="D13" t="s">
        <v>21</v>
      </c>
      <c r="F13" s="13" t="s">
        <v>30</v>
      </c>
      <c r="H13" s="13" t="s">
        <v>23</v>
      </c>
      <c r="J13" t="s">
        <v>31</v>
      </c>
      <c r="K13" t="s">
        <v>59</v>
      </c>
      <c r="L13" t="s">
        <v>27</v>
      </c>
      <c r="M13" t="s">
        <v>33</v>
      </c>
      <c r="N13" t="s">
        <v>33</v>
      </c>
      <c r="O13" t="s">
        <v>26</v>
      </c>
      <c r="P13" t="s">
        <v>33</v>
      </c>
      <c r="Q13" t="s">
        <v>33</v>
      </c>
      <c r="R13" t="s">
        <v>27</v>
      </c>
      <c r="S13" t="s">
        <v>26</v>
      </c>
      <c r="T13">
        <v>7</v>
      </c>
      <c r="U13" t="s">
        <v>43</v>
      </c>
    </row>
    <row r="14" spans="1:21" x14ac:dyDescent="0.35">
      <c r="A14" s="12">
        <v>19</v>
      </c>
      <c r="B14" s="2">
        <v>46162.603495370371</v>
      </c>
      <c r="C14" s="2">
        <v>46162.60732638889</v>
      </c>
      <c r="D14" t="s">
        <v>21</v>
      </c>
      <c r="F14" s="12" t="s">
        <v>22</v>
      </c>
      <c r="H14" s="12" t="s">
        <v>23</v>
      </c>
      <c r="J14" t="s">
        <v>60</v>
      </c>
      <c r="K14" t="s">
        <v>61</v>
      </c>
      <c r="L14" t="s">
        <v>27</v>
      </c>
      <c r="M14" t="s">
        <v>26</v>
      </c>
      <c r="N14" t="s">
        <v>33</v>
      </c>
      <c r="O14" t="s">
        <v>33</v>
      </c>
      <c r="P14" t="s">
        <v>27</v>
      </c>
      <c r="Q14" t="s">
        <v>27</v>
      </c>
      <c r="R14" t="s">
        <v>27</v>
      </c>
      <c r="S14" t="s">
        <v>33</v>
      </c>
      <c r="T14">
        <v>6</v>
      </c>
      <c r="U14" t="s">
        <v>62</v>
      </c>
    </row>
    <row r="15" spans="1:21" x14ac:dyDescent="0.35">
      <c r="A15" s="13">
        <v>20</v>
      </c>
      <c r="B15" s="2">
        <v>46162.613946759258</v>
      </c>
      <c r="C15" s="2">
        <v>46162.614930555559</v>
      </c>
      <c r="D15" t="s">
        <v>21</v>
      </c>
      <c r="F15" s="13" t="s">
        <v>30</v>
      </c>
      <c r="H15" s="13" t="s">
        <v>23</v>
      </c>
      <c r="J15" t="s">
        <v>63</v>
      </c>
      <c r="K15" t="s">
        <v>64</v>
      </c>
      <c r="L15" t="s">
        <v>27</v>
      </c>
      <c r="M15" t="s">
        <v>27</v>
      </c>
      <c r="N15" t="s">
        <v>26</v>
      </c>
      <c r="O15" t="s">
        <v>27</v>
      </c>
      <c r="P15" t="s">
        <v>33</v>
      </c>
      <c r="Q15" t="s">
        <v>33</v>
      </c>
      <c r="R15" t="s">
        <v>26</v>
      </c>
      <c r="S15" t="s">
        <v>33</v>
      </c>
      <c r="T15">
        <v>6</v>
      </c>
      <c r="U15" t="s">
        <v>65</v>
      </c>
    </row>
    <row r="16" spans="1:21" x14ac:dyDescent="0.35">
      <c r="A16" s="12">
        <v>21</v>
      </c>
      <c r="B16" s="2">
        <v>46162.617048611108</v>
      </c>
      <c r="C16" s="2">
        <v>46162.618923611109</v>
      </c>
      <c r="D16" t="s">
        <v>21</v>
      </c>
      <c r="F16" s="12" t="s">
        <v>30</v>
      </c>
      <c r="H16" s="12" t="s">
        <v>30</v>
      </c>
      <c r="J16" t="s">
        <v>38</v>
      </c>
      <c r="K16" t="s">
        <v>66</v>
      </c>
      <c r="L16" t="s">
        <v>27</v>
      </c>
      <c r="M16" t="s">
        <v>33</v>
      </c>
      <c r="N16" t="s">
        <v>33</v>
      </c>
      <c r="O16" t="s">
        <v>27</v>
      </c>
      <c r="P16" t="s">
        <v>27</v>
      </c>
      <c r="Q16" t="s">
        <v>33</v>
      </c>
      <c r="R16" t="s">
        <v>26</v>
      </c>
      <c r="S16" t="s">
        <v>33</v>
      </c>
      <c r="T16">
        <v>7</v>
      </c>
      <c r="U16" t="s">
        <v>67</v>
      </c>
    </row>
    <row r="17" spans="1:21" x14ac:dyDescent="0.35">
      <c r="A17" s="13">
        <v>22</v>
      </c>
      <c r="B17" s="2">
        <v>46162.618969907409</v>
      </c>
      <c r="C17" s="2">
        <v>46162.620150462964</v>
      </c>
      <c r="D17" t="s">
        <v>21</v>
      </c>
      <c r="F17" s="13" t="s">
        <v>30</v>
      </c>
      <c r="H17" s="13" t="s">
        <v>23</v>
      </c>
      <c r="J17" t="s">
        <v>56</v>
      </c>
      <c r="K17" t="s">
        <v>68</v>
      </c>
      <c r="L17" t="s">
        <v>33</v>
      </c>
      <c r="M17" t="s">
        <v>33</v>
      </c>
      <c r="N17" t="s">
        <v>27</v>
      </c>
      <c r="O17" t="s">
        <v>27</v>
      </c>
      <c r="P17" t="s">
        <v>26</v>
      </c>
      <c r="Q17" t="s">
        <v>26</v>
      </c>
      <c r="R17" t="s">
        <v>33</v>
      </c>
      <c r="S17" t="s">
        <v>33</v>
      </c>
      <c r="T17">
        <v>8</v>
      </c>
      <c r="U17" t="s">
        <v>69</v>
      </c>
    </row>
    <row r="18" spans="1:21" x14ac:dyDescent="0.35">
      <c r="A18" s="12">
        <v>23</v>
      </c>
      <c r="B18" s="2">
        <v>46162.62295138889</v>
      </c>
      <c r="C18" s="2">
        <v>46162.623773148145</v>
      </c>
      <c r="D18" t="s">
        <v>21</v>
      </c>
      <c r="F18" s="12" t="s">
        <v>22</v>
      </c>
      <c r="H18" s="12" t="s">
        <v>23</v>
      </c>
      <c r="J18" t="s">
        <v>70</v>
      </c>
      <c r="K18" t="s">
        <v>71</v>
      </c>
      <c r="L18" t="s">
        <v>27</v>
      </c>
      <c r="M18" t="s">
        <v>27</v>
      </c>
      <c r="N18" t="s">
        <v>27</v>
      </c>
      <c r="O18" t="s">
        <v>27</v>
      </c>
      <c r="P18" t="s">
        <v>27</v>
      </c>
      <c r="Q18" t="s">
        <v>28</v>
      </c>
      <c r="R18" t="s">
        <v>33</v>
      </c>
      <c r="S18" t="s">
        <v>33</v>
      </c>
      <c r="T18">
        <v>7</v>
      </c>
      <c r="U18" t="s">
        <v>72</v>
      </c>
    </row>
    <row r="19" spans="1:21" x14ac:dyDescent="0.35">
      <c r="A19" s="13">
        <v>24</v>
      </c>
      <c r="B19" s="2">
        <v>46162.622893518521</v>
      </c>
      <c r="C19" s="2">
        <v>46162.623831018522</v>
      </c>
      <c r="D19" t="s">
        <v>21</v>
      </c>
      <c r="F19" s="13" t="s">
        <v>30</v>
      </c>
      <c r="H19" s="13" t="s">
        <v>30</v>
      </c>
      <c r="J19" t="s">
        <v>73</v>
      </c>
      <c r="K19" t="s">
        <v>74</v>
      </c>
      <c r="L19" t="s">
        <v>33</v>
      </c>
      <c r="M19" t="s">
        <v>33</v>
      </c>
      <c r="N19" t="s">
        <v>27</v>
      </c>
      <c r="O19" t="s">
        <v>27</v>
      </c>
      <c r="P19" t="s">
        <v>33</v>
      </c>
      <c r="Q19" t="s">
        <v>27</v>
      </c>
      <c r="R19" t="s">
        <v>27</v>
      </c>
      <c r="S19" t="s">
        <v>26</v>
      </c>
      <c r="T19">
        <v>9</v>
      </c>
      <c r="U19" t="s">
        <v>75</v>
      </c>
    </row>
    <row r="20" spans="1:21" x14ac:dyDescent="0.35">
      <c r="A20" s="12">
        <v>26</v>
      </c>
      <c r="B20" s="2">
        <v>46162.631689814814</v>
      </c>
      <c r="C20" s="2">
        <v>46162.633611111109</v>
      </c>
      <c r="D20" t="s">
        <v>21</v>
      </c>
      <c r="F20" s="12" t="s">
        <v>30</v>
      </c>
      <c r="H20" s="12" t="s">
        <v>30</v>
      </c>
      <c r="J20" t="s">
        <v>76</v>
      </c>
      <c r="K20" t="s">
        <v>77</v>
      </c>
      <c r="L20" t="s">
        <v>27</v>
      </c>
      <c r="M20" t="s">
        <v>33</v>
      </c>
      <c r="N20" t="s">
        <v>27</v>
      </c>
      <c r="O20" t="s">
        <v>28</v>
      </c>
      <c r="P20" t="s">
        <v>33</v>
      </c>
      <c r="Q20" t="s">
        <v>26</v>
      </c>
      <c r="R20" t="s">
        <v>33</v>
      </c>
      <c r="S20" t="s">
        <v>33</v>
      </c>
      <c r="T20">
        <v>7</v>
      </c>
      <c r="U20" t="s">
        <v>78</v>
      </c>
    </row>
    <row r="21" spans="1:21" x14ac:dyDescent="0.35">
      <c r="A21" s="13">
        <v>27</v>
      </c>
      <c r="B21" s="2">
        <v>46162.638703703706</v>
      </c>
      <c r="C21" s="2">
        <v>46162.641203703701</v>
      </c>
      <c r="D21" t="s">
        <v>21</v>
      </c>
      <c r="F21" s="13" t="s">
        <v>30</v>
      </c>
      <c r="H21" s="13" t="s">
        <v>30</v>
      </c>
      <c r="J21" t="s">
        <v>24</v>
      </c>
      <c r="K21" t="s">
        <v>79</v>
      </c>
      <c r="L21" t="s">
        <v>33</v>
      </c>
      <c r="M21" t="s">
        <v>26</v>
      </c>
      <c r="N21" t="s">
        <v>27</v>
      </c>
      <c r="O21" t="s">
        <v>26</v>
      </c>
      <c r="P21" t="s">
        <v>33</v>
      </c>
      <c r="Q21" t="s">
        <v>28</v>
      </c>
      <c r="R21" t="s">
        <v>28</v>
      </c>
      <c r="S21" t="s">
        <v>33</v>
      </c>
      <c r="T21">
        <v>8</v>
      </c>
      <c r="U21" t="s">
        <v>80</v>
      </c>
    </row>
    <row r="22" spans="1:21" x14ac:dyDescent="0.35">
      <c r="A22" s="12">
        <v>28</v>
      </c>
      <c r="B22" s="2">
        <v>46162.649953703702</v>
      </c>
      <c r="C22" s="2">
        <v>46162.652025462965</v>
      </c>
      <c r="D22" t="s">
        <v>21</v>
      </c>
      <c r="F22" s="12" t="s">
        <v>22</v>
      </c>
      <c r="H22" s="12" t="s">
        <v>23</v>
      </c>
      <c r="J22" t="s">
        <v>38</v>
      </c>
      <c r="K22" t="s">
        <v>81</v>
      </c>
      <c r="L22" t="s">
        <v>33</v>
      </c>
      <c r="M22" t="s">
        <v>26</v>
      </c>
      <c r="N22" t="s">
        <v>33</v>
      </c>
      <c r="O22" t="s">
        <v>33</v>
      </c>
      <c r="P22" t="s">
        <v>26</v>
      </c>
      <c r="Q22" t="s">
        <v>27</v>
      </c>
      <c r="R22" t="s">
        <v>26</v>
      </c>
      <c r="S22" t="s">
        <v>33</v>
      </c>
      <c r="T22">
        <v>4</v>
      </c>
      <c r="U22" t="s">
        <v>82</v>
      </c>
    </row>
    <row r="23" spans="1:21" x14ac:dyDescent="0.35">
      <c r="A23" s="13">
        <v>30</v>
      </c>
      <c r="B23" s="2">
        <v>46162.663622685184</v>
      </c>
      <c r="C23" s="2">
        <v>46162.664988425924</v>
      </c>
      <c r="D23" t="s">
        <v>21</v>
      </c>
      <c r="F23" s="13" t="s">
        <v>30</v>
      </c>
      <c r="H23" s="13" t="s">
        <v>30</v>
      </c>
      <c r="J23" t="s">
        <v>83</v>
      </c>
      <c r="K23" t="s">
        <v>84</v>
      </c>
      <c r="L23" t="s">
        <v>27</v>
      </c>
      <c r="M23" t="s">
        <v>26</v>
      </c>
      <c r="N23" t="s">
        <v>27</v>
      </c>
      <c r="O23" t="s">
        <v>33</v>
      </c>
      <c r="P23" t="s">
        <v>26</v>
      </c>
      <c r="Q23" t="s">
        <v>28</v>
      </c>
      <c r="R23" t="s">
        <v>33</v>
      </c>
      <c r="S23" t="s">
        <v>28</v>
      </c>
      <c r="T23">
        <v>8</v>
      </c>
      <c r="U23" t="s">
        <v>67</v>
      </c>
    </row>
    <row r="24" spans="1:21" x14ac:dyDescent="0.35">
      <c r="A24" s="12">
        <v>31</v>
      </c>
      <c r="B24" s="2">
        <v>46162.664803240739</v>
      </c>
      <c r="C24" s="2">
        <v>46162.668090277781</v>
      </c>
      <c r="D24" t="s">
        <v>21</v>
      </c>
      <c r="F24" s="12" t="s">
        <v>30</v>
      </c>
      <c r="H24" s="12" t="s">
        <v>30</v>
      </c>
      <c r="J24" t="s">
        <v>76</v>
      </c>
      <c r="K24" t="s">
        <v>85</v>
      </c>
      <c r="L24" t="s">
        <v>27</v>
      </c>
      <c r="M24" t="s">
        <v>27</v>
      </c>
      <c r="N24" t="s">
        <v>27</v>
      </c>
      <c r="O24" t="s">
        <v>28</v>
      </c>
      <c r="P24" t="s">
        <v>33</v>
      </c>
      <c r="Q24" t="s">
        <v>28</v>
      </c>
      <c r="R24" t="s">
        <v>33</v>
      </c>
      <c r="S24" t="s">
        <v>27</v>
      </c>
      <c r="T24">
        <v>9</v>
      </c>
      <c r="U24" t="s">
        <v>86</v>
      </c>
    </row>
    <row r="25" spans="1:21" x14ac:dyDescent="0.35">
      <c r="A25" s="13">
        <v>33</v>
      </c>
      <c r="B25" s="2">
        <v>46162.687256944446</v>
      </c>
      <c r="C25" s="2">
        <v>46162.689687500002</v>
      </c>
      <c r="D25" t="s">
        <v>21</v>
      </c>
      <c r="F25" s="13" t="s">
        <v>30</v>
      </c>
      <c r="H25" s="13" t="s">
        <v>30</v>
      </c>
      <c r="J25" t="s">
        <v>87</v>
      </c>
      <c r="K25" t="s">
        <v>88</v>
      </c>
      <c r="L25" t="s">
        <v>27</v>
      </c>
      <c r="M25" t="s">
        <v>33</v>
      </c>
      <c r="N25" t="s">
        <v>27</v>
      </c>
      <c r="O25" t="s">
        <v>33</v>
      </c>
      <c r="P25" t="s">
        <v>33</v>
      </c>
      <c r="Q25" t="s">
        <v>33</v>
      </c>
      <c r="R25" t="s">
        <v>27</v>
      </c>
      <c r="S25" t="s">
        <v>28</v>
      </c>
      <c r="T25">
        <v>8</v>
      </c>
      <c r="U25" t="s">
        <v>89</v>
      </c>
    </row>
    <row r="26" spans="1:21" x14ac:dyDescent="0.35">
      <c r="A26" s="12">
        <v>34</v>
      </c>
      <c r="B26" s="2">
        <v>46162.690127314818</v>
      </c>
      <c r="C26" s="2">
        <v>46162.690717592595</v>
      </c>
      <c r="D26" t="s">
        <v>21</v>
      </c>
      <c r="F26" s="12" t="s">
        <v>22</v>
      </c>
      <c r="H26" s="12" t="s">
        <v>30</v>
      </c>
      <c r="J26" t="s">
        <v>83</v>
      </c>
      <c r="K26" t="s">
        <v>90</v>
      </c>
      <c r="L26" t="s">
        <v>27</v>
      </c>
      <c r="M26" t="s">
        <v>33</v>
      </c>
      <c r="N26" t="s">
        <v>27</v>
      </c>
      <c r="O26" t="s">
        <v>33</v>
      </c>
      <c r="P26" t="s">
        <v>33</v>
      </c>
      <c r="Q26" t="s">
        <v>33</v>
      </c>
      <c r="R26" t="s">
        <v>26</v>
      </c>
      <c r="S26" t="s">
        <v>33</v>
      </c>
      <c r="T26">
        <v>10</v>
      </c>
      <c r="U26" t="s">
        <v>91</v>
      </c>
    </row>
    <row r="27" spans="1:21" x14ac:dyDescent="0.35">
      <c r="A27" s="13">
        <v>35</v>
      </c>
      <c r="B27" s="2">
        <v>46162.694953703707</v>
      </c>
      <c r="C27" s="2">
        <v>46162.698055555556</v>
      </c>
      <c r="D27" t="s">
        <v>21</v>
      </c>
      <c r="F27" s="13" t="s">
        <v>22</v>
      </c>
      <c r="H27" s="13" t="s">
        <v>30</v>
      </c>
      <c r="J27" t="s">
        <v>38</v>
      </c>
      <c r="K27" t="s">
        <v>92</v>
      </c>
      <c r="L27" t="s">
        <v>33</v>
      </c>
      <c r="M27" t="s">
        <v>26</v>
      </c>
      <c r="N27" t="s">
        <v>33</v>
      </c>
      <c r="O27" t="s">
        <v>27</v>
      </c>
      <c r="P27" t="s">
        <v>26</v>
      </c>
      <c r="Q27" t="s">
        <v>28</v>
      </c>
      <c r="R27" t="s">
        <v>33</v>
      </c>
      <c r="S27" t="s">
        <v>27</v>
      </c>
      <c r="T27">
        <v>8</v>
      </c>
      <c r="U27" t="s">
        <v>93</v>
      </c>
    </row>
    <row r="28" spans="1:21" x14ac:dyDescent="0.35">
      <c r="A28" s="12">
        <v>36</v>
      </c>
      <c r="B28" s="2">
        <v>46162.722881944443</v>
      </c>
      <c r="C28" s="2">
        <v>46162.723946759259</v>
      </c>
      <c r="D28" t="s">
        <v>21</v>
      </c>
      <c r="F28" s="12" t="s">
        <v>22</v>
      </c>
      <c r="H28" s="12" t="s">
        <v>23</v>
      </c>
      <c r="J28" t="s">
        <v>38</v>
      </c>
      <c r="K28" t="s">
        <v>94</v>
      </c>
      <c r="L28" t="s">
        <v>95</v>
      </c>
      <c r="M28" t="s">
        <v>95</v>
      </c>
      <c r="N28" t="s">
        <v>95</v>
      </c>
      <c r="O28" t="s">
        <v>33</v>
      </c>
      <c r="P28" t="s">
        <v>95</v>
      </c>
      <c r="Q28" t="s">
        <v>27</v>
      </c>
      <c r="R28" t="s">
        <v>33</v>
      </c>
      <c r="S28" t="s">
        <v>27</v>
      </c>
      <c r="T28">
        <v>0</v>
      </c>
      <c r="U28" t="s">
        <v>96</v>
      </c>
    </row>
    <row r="29" spans="1:21" x14ac:dyDescent="0.35">
      <c r="A29" s="13">
        <v>38</v>
      </c>
      <c r="B29" s="2">
        <v>46162.728645833333</v>
      </c>
      <c r="C29" s="2">
        <v>46162.730173611111</v>
      </c>
      <c r="D29" t="s">
        <v>21</v>
      </c>
      <c r="F29" s="13" t="s">
        <v>30</v>
      </c>
      <c r="H29" s="13" t="s">
        <v>23</v>
      </c>
      <c r="J29" t="s">
        <v>73</v>
      </c>
      <c r="K29" t="s">
        <v>97</v>
      </c>
      <c r="L29" t="s">
        <v>27</v>
      </c>
      <c r="M29" t="s">
        <v>33</v>
      </c>
      <c r="N29" t="s">
        <v>27</v>
      </c>
      <c r="O29" t="s">
        <v>33</v>
      </c>
      <c r="P29" t="s">
        <v>33</v>
      </c>
      <c r="Q29" t="s">
        <v>33</v>
      </c>
      <c r="R29" t="s">
        <v>33</v>
      </c>
      <c r="S29" t="s">
        <v>27</v>
      </c>
      <c r="T29">
        <v>8</v>
      </c>
      <c r="U29" t="s">
        <v>98</v>
      </c>
    </row>
    <row r="30" spans="1:21" x14ac:dyDescent="0.35">
      <c r="A30" s="12">
        <v>39</v>
      </c>
      <c r="B30" s="2">
        <v>46162.74900462963</v>
      </c>
      <c r="C30" s="2">
        <v>46162.750358796293</v>
      </c>
      <c r="D30" t="s">
        <v>21</v>
      </c>
      <c r="F30" s="12" t="s">
        <v>30</v>
      </c>
      <c r="H30" s="12" t="s">
        <v>30</v>
      </c>
      <c r="J30" t="s">
        <v>99</v>
      </c>
      <c r="K30" t="s">
        <v>100</v>
      </c>
      <c r="L30" t="s">
        <v>33</v>
      </c>
      <c r="M30" t="s">
        <v>33</v>
      </c>
      <c r="N30" t="s">
        <v>33</v>
      </c>
      <c r="O30" t="s">
        <v>27</v>
      </c>
      <c r="P30" t="s">
        <v>27</v>
      </c>
      <c r="Q30" t="s">
        <v>33</v>
      </c>
      <c r="R30" t="s">
        <v>27</v>
      </c>
      <c r="S30" t="s">
        <v>26</v>
      </c>
      <c r="T30">
        <v>7</v>
      </c>
      <c r="U30" t="s">
        <v>101</v>
      </c>
    </row>
    <row r="31" spans="1:21" x14ac:dyDescent="0.35">
      <c r="A31" s="13">
        <v>40</v>
      </c>
      <c r="B31" s="2">
        <v>46162.757893518516</v>
      </c>
      <c r="C31" s="2">
        <v>46162.758969907409</v>
      </c>
      <c r="D31" t="s">
        <v>21</v>
      </c>
      <c r="F31" s="13" t="s">
        <v>30</v>
      </c>
      <c r="H31" s="13" t="s">
        <v>30</v>
      </c>
      <c r="J31" t="s">
        <v>73</v>
      </c>
      <c r="K31" t="s">
        <v>102</v>
      </c>
      <c r="L31" t="s">
        <v>27</v>
      </c>
      <c r="M31" t="s">
        <v>26</v>
      </c>
      <c r="N31" t="s">
        <v>27</v>
      </c>
      <c r="O31" t="s">
        <v>33</v>
      </c>
      <c r="P31" t="s">
        <v>26</v>
      </c>
      <c r="Q31" t="s">
        <v>33</v>
      </c>
      <c r="R31" t="s">
        <v>33</v>
      </c>
      <c r="S31" t="s">
        <v>27</v>
      </c>
      <c r="T31">
        <v>10</v>
      </c>
      <c r="U31" t="s">
        <v>103</v>
      </c>
    </row>
    <row r="32" spans="1:21" x14ac:dyDescent="0.35">
      <c r="A32" s="12">
        <v>41</v>
      </c>
      <c r="B32" s="2">
        <v>46162.757777777777</v>
      </c>
      <c r="C32" s="2">
        <v>46162.759328703702</v>
      </c>
      <c r="D32" t="s">
        <v>21</v>
      </c>
      <c r="F32" s="12" t="s">
        <v>30</v>
      </c>
      <c r="H32" s="12" t="s">
        <v>30</v>
      </c>
      <c r="J32" t="s">
        <v>99</v>
      </c>
      <c r="K32" t="s">
        <v>104</v>
      </c>
      <c r="L32" t="s">
        <v>27</v>
      </c>
      <c r="M32" t="s">
        <v>27</v>
      </c>
      <c r="N32" t="s">
        <v>27</v>
      </c>
      <c r="O32" t="s">
        <v>33</v>
      </c>
      <c r="P32" t="s">
        <v>26</v>
      </c>
      <c r="Q32" t="s">
        <v>33</v>
      </c>
      <c r="R32" t="s">
        <v>26</v>
      </c>
      <c r="S32" t="s">
        <v>33</v>
      </c>
      <c r="T32">
        <v>7</v>
      </c>
      <c r="U32" t="s">
        <v>105</v>
      </c>
    </row>
    <row r="33" spans="1:21" x14ac:dyDescent="0.35">
      <c r="A33" s="13">
        <v>42</v>
      </c>
      <c r="B33" s="2">
        <v>46162.778032407405</v>
      </c>
      <c r="C33" s="2">
        <v>46162.779039351852</v>
      </c>
      <c r="D33" t="s">
        <v>21</v>
      </c>
      <c r="F33" s="13" t="s">
        <v>30</v>
      </c>
      <c r="H33" s="13" t="s">
        <v>23</v>
      </c>
      <c r="J33" t="s">
        <v>73</v>
      </c>
      <c r="K33" t="s">
        <v>106</v>
      </c>
      <c r="L33" t="s">
        <v>33</v>
      </c>
      <c r="M33" t="s">
        <v>26</v>
      </c>
      <c r="N33" t="s">
        <v>33</v>
      </c>
      <c r="O33" t="s">
        <v>33</v>
      </c>
      <c r="P33" t="s">
        <v>26</v>
      </c>
      <c r="Q33" t="s">
        <v>28</v>
      </c>
      <c r="R33" t="s">
        <v>33</v>
      </c>
      <c r="S33" t="s">
        <v>95</v>
      </c>
      <c r="T33">
        <v>7</v>
      </c>
      <c r="U33" t="s">
        <v>107</v>
      </c>
    </row>
    <row r="34" spans="1:21" x14ac:dyDescent="0.35">
      <c r="A34" s="12">
        <v>43</v>
      </c>
      <c r="B34" s="2">
        <v>46162.778599537036</v>
      </c>
      <c r="C34" s="2">
        <v>46162.780659722222</v>
      </c>
      <c r="D34" t="s">
        <v>21</v>
      </c>
      <c r="F34" s="12" t="s">
        <v>22</v>
      </c>
      <c r="H34" s="12" t="s">
        <v>30</v>
      </c>
      <c r="J34" t="s">
        <v>56</v>
      </c>
      <c r="K34" t="s">
        <v>108</v>
      </c>
      <c r="L34" t="s">
        <v>33</v>
      </c>
      <c r="M34" t="s">
        <v>33</v>
      </c>
      <c r="N34" t="s">
        <v>26</v>
      </c>
      <c r="O34" t="s">
        <v>28</v>
      </c>
      <c r="P34" t="s">
        <v>33</v>
      </c>
      <c r="Q34" t="s">
        <v>95</v>
      </c>
      <c r="R34" t="s">
        <v>33</v>
      </c>
      <c r="S34" t="s">
        <v>26</v>
      </c>
      <c r="T34">
        <v>7</v>
      </c>
      <c r="U34" t="s">
        <v>109</v>
      </c>
    </row>
    <row r="35" spans="1:21" x14ac:dyDescent="0.35">
      <c r="A35" s="13">
        <v>44</v>
      </c>
      <c r="B35" s="2">
        <v>46162.803344907406</v>
      </c>
      <c r="C35" s="2">
        <v>46162.805451388886</v>
      </c>
      <c r="D35" t="s">
        <v>21</v>
      </c>
      <c r="F35" s="13" t="s">
        <v>30</v>
      </c>
      <c r="H35" s="13" t="s">
        <v>30</v>
      </c>
      <c r="J35" t="s">
        <v>73</v>
      </c>
      <c r="K35" t="s">
        <v>110</v>
      </c>
      <c r="L35" t="s">
        <v>27</v>
      </c>
      <c r="M35" t="s">
        <v>33</v>
      </c>
      <c r="N35" t="s">
        <v>33</v>
      </c>
      <c r="O35" t="s">
        <v>33</v>
      </c>
      <c r="P35" t="s">
        <v>27</v>
      </c>
      <c r="Q35" t="s">
        <v>27</v>
      </c>
      <c r="R35" t="s">
        <v>33</v>
      </c>
      <c r="S35" t="s">
        <v>27</v>
      </c>
      <c r="T35">
        <v>9</v>
      </c>
      <c r="U35" t="s">
        <v>111</v>
      </c>
    </row>
    <row r="36" spans="1:21" x14ac:dyDescent="0.35">
      <c r="A36" s="12">
        <v>45</v>
      </c>
      <c r="B36" s="2">
        <v>46162.819247685184</v>
      </c>
      <c r="C36" s="2">
        <v>46162.820069444446</v>
      </c>
      <c r="D36" t="s">
        <v>21</v>
      </c>
      <c r="F36" s="12" t="s">
        <v>22</v>
      </c>
      <c r="H36" s="12" t="s">
        <v>30</v>
      </c>
      <c r="J36" t="s">
        <v>99</v>
      </c>
      <c r="K36" t="s">
        <v>112</v>
      </c>
      <c r="L36" t="s">
        <v>27</v>
      </c>
      <c r="M36" t="s">
        <v>27</v>
      </c>
      <c r="N36" t="s">
        <v>27</v>
      </c>
      <c r="O36" t="s">
        <v>27</v>
      </c>
      <c r="P36" t="s">
        <v>95</v>
      </c>
      <c r="Q36" t="s">
        <v>27</v>
      </c>
      <c r="R36" t="s">
        <v>28</v>
      </c>
      <c r="S36" t="s">
        <v>27</v>
      </c>
      <c r="T36">
        <v>10</v>
      </c>
      <c r="U36" t="s">
        <v>113</v>
      </c>
    </row>
    <row r="37" spans="1:21" x14ac:dyDescent="0.35">
      <c r="A37" s="13">
        <v>46</v>
      </c>
      <c r="B37" s="2">
        <v>46162.832511574074</v>
      </c>
      <c r="C37" s="2">
        <v>46162.833819444444</v>
      </c>
      <c r="D37" t="s">
        <v>21</v>
      </c>
      <c r="F37" s="13" t="s">
        <v>22</v>
      </c>
      <c r="H37" s="13" t="s">
        <v>23</v>
      </c>
      <c r="J37" t="s">
        <v>63</v>
      </c>
      <c r="K37" t="s">
        <v>114</v>
      </c>
      <c r="L37" t="s">
        <v>27</v>
      </c>
      <c r="M37" t="s">
        <v>27</v>
      </c>
      <c r="N37" t="s">
        <v>33</v>
      </c>
      <c r="O37" t="s">
        <v>27</v>
      </c>
      <c r="P37" t="s">
        <v>27</v>
      </c>
      <c r="Q37" t="s">
        <v>26</v>
      </c>
      <c r="R37" t="s">
        <v>33</v>
      </c>
      <c r="S37" t="s">
        <v>26</v>
      </c>
      <c r="T37">
        <v>8</v>
      </c>
      <c r="U37" t="s">
        <v>115</v>
      </c>
    </row>
    <row r="38" spans="1:21" x14ac:dyDescent="0.35">
      <c r="A38" s="12">
        <v>48</v>
      </c>
      <c r="B38" s="2">
        <v>46162.841319444444</v>
      </c>
      <c r="C38" s="2">
        <v>46162.841828703706</v>
      </c>
      <c r="D38" t="s">
        <v>21</v>
      </c>
      <c r="F38" s="12" t="s">
        <v>30</v>
      </c>
      <c r="H38" s="12" t="s">
        <v>23</v>
      </c>
      <c r="J38" t="s">
        <v>46</v>
      </c>
      <c r="K38" t="s">
        <v>116</v>
      </c>
      <c r="L38" t="s">
        <v>95</v>
      </c>
      <c r="M38" t="s">
        <v>95</v>
      </c>
      <c r="N38" t="s">
        <v>95</v>
      </c>
      <c r="O38" t="s">
        <v>95</v>
      </c>
      <c r="P38" t="s">
        <v>95</v>
      </c>
      <c r="Q38" t="s">
        <v>95</v>
      </c>
      <c r="R38" t="s">
        <v>95</v>
      </c>
      <c r="S38" t="s">
        <v>95</v>
      </c>
      <c r="T38">
        <v>0</v>
      </c>
      <c r="U38" t="s">
        <v>117</v>
      </c>
    </row>
    <row r="39" spans="1:21" x14ac:dyDescent="0.35">
      <c r="A39" s="13">
        <v>49</v>
      </c>
      <c r="B39" s="2">
        <v>46162.84578703704</v>
      </c>
      <c r="C39" s="2">
        <v>46162.84746527778</v>
      </c>
      <c r="D39" t="s">
        <v>21</v>
      </c>
      <c r="F39" s="13" t="s">
        <v>30</v>
      </c>
      <c r="H39" s="13" t="s">
        <v>23</v>
      </c>
      <c r="J39" t="s">
        <v>38</v>
      </c>
      <c r="K39" t="s">
        <v>118</v>
      </c>
      <c r="L39" t="s">
        <v>27</v>
      </c>
      <c r="M39" t="s">
        <v>28</v>
      </c>
      <c r="N39" t="s">
        <v>27</v>
      </c>
      <c r="O39" t="s">
        <v>26</v>
      </c>
      <c r="P39" t="s">
        <v>33</v>
      </c>
      <c r="Q39" t="s">
        <v>26</v>
      </c>
      <c r="R39" t="s">
        <v>27</v>
      </c>
      <c r="S39" t="s">
        <v>33</v>
      </c>
      <c r="T39">
        <v>6</v>
      </c>
      <c r="U39" t="s">
        <v>22</v>
      </c>
    </row>
    <row r="40" spans="1:21" x14ac:dyDescent="0.35">
      <c r="A40" s="12">
        <v>50</v>
      </c>
      <c r="B40" s="2">
        <v>46162.849317129629</v>
      </c>
      <c r="C40" s="2">
        <v>46162.851736111108</v>
      </c>
      <c r="D40" t="s">
        <v>21</v>
      </c>
      <c r="F40" s="12" t="s">
        <v>30</v>
      </c>
      <c r="H40" s="12" t="s">
        <v>30</v>
      </c>
      <c r="J40" t="s">
        <v>60</v>
      </c>
      <c r="K40" t="s">
        <v>119</v>
      </c>
      <c r="L40" t="s">
        <v>33</v>
      </c>
      <c r="M40" t="s">
        <v>33</v>
      </c>
      <c r="N40" t="s">
        <v>26</v>
      </c>
      <c r="O40" t="s">
        <v>27</v>
      </c>
      <c r="P40" t="s">
        <v>26</v>
      </c>
      <c r="Q40" t="s">
        <v>28</v>
      </c>
      <c r="R40" t="s">
        <v>33</v>
      </c>
      <c r="S40" t="s">
        <v>27</v>
      </c>
      <c r="T40">
        <v>8</v>
      </c>
      <c r="U40" t="s">
        <v>120</v>
      </c>
    </row>
    <row r="41" spans="1:21" x14ac:dyDescent="0.35">
      <c r="A41" s="13">
        <v>51</v>
      </c>
      <c r="B41" s="2">
        <v>46162.851944444446</v>
      </c>
      <c r="C41" s="2">
        <v>46162.853263888886</v>
      </c>
      <c r="D41" t="s">
        <v>21</v>
      </c>
      <c r="F41" s="13" t="s">
        <v>30</v>
      </c>
      <c r="H41" s="13" t="s">
        <v>30</v>
      </c>
      <c r="J41" t="s">
        <v>63</v>
      </c>
      <c r="K41" t="s">
        <v>121</v>
      </c>
      <c r="L41" t="s">
        <v>33</v>
      </c>
      <c r="M41" t="s">
        <v>26</v>
      </c>
      <c r="N41" t="s">
        <v>27</v>
      </c>
      <c r="O41" t="s">
        <v>28</v>
      </c>
      <c r="P41" t="s">
        <v>33</v>
      </c>
      <c r="Q41" t="s">
        <v>28</v>
      </c>
      <c r="R41" t="s">
        <v>33</v>
      </c>
      <c r="S41" t="s">
        <v>26</v>
      </c>
      <c r="T41">
        <v>8</v>
      </c>
      <c r="U41" t="s">
        <v>122</v>
      </c>
    </row>
    <row r="42" spans="1:21" x14ac:dyDescent="0.35">
      <c r="A42" s="12">
        <v>52</v>
      </c>
      <c r="B42" s="2">
        <v>46162.866759259261</v>
      </c>
      <c r="C42" s="2">
        <v>46162.867754629631</v>
      </c>
      <c r="D42" t="s">
        <v>21</v>
      </c>
      <c r="F42" s="12" t="s">
        <v>22</v>
      </c>
      <c r="H42" s="12" t="s">
        <v>23</v>
      </c>
      <c r="J42" t="s">
        <v>38</v>
      </c>
      <c r="K42" t="s">
        <v>123</v>
      </c>
      <c r="L42" t="s">
        <v>26</v>
      </c>
      <c r="M42" t="s">
        <v>26</v>
      </c>
      <c r="N42" t="s">
        <v>26</v>
      </c>
      <c r="O42" t="s">
        <v>33</v>
      </c>
      <c r="P42" t="s">
        <v>26</v>
      </c>
      <c r="Q42" t="s">
        <v>26</v>
      </c>
      <c r="R42" t="s">
        <v>26</v>
      </c>
      <c r="S42" t="s">
        <v>26</v>
      </c>
      <c r="T42">
        <v>6</v>
      </c>
      <c r="U42" t="s">
        <v>124</v>
      </c>
    </row>
    <row r="43" spans="1:21" x14ac:dyDescent="0.35">
      <c r="A43" s="13">
        <v>53</v>
      </c>
      <c r="B43" s="2">
        <v>46162.87736111111</v>
      </c>
      <c r="C43" s="2">
        <v>46162.879166666666</v>
      </c>
      <c r="D43" t="s">
        <v>21</v>
      </c>
      <c r="F43" s="13" t="s">
        <v>30</v>
      </c>
      <c r="H43" s="13" t="s">
        <v>30</v>
      </c>
      <c r="J43" t="s">
        <v>38</v>
      </c>
      <c r="K43" t="s">
        <v>125</v>
      </c>
      <c r="L43" t="s">
        <v>27</v>
      </c>
      <c r="M43" t="s">
        <v>33</v>
      </c>
      <c r="N43" t="s">
        <v>27</v>
      </c>
      <c r="O43" t="s">
        <v>33</v>
      </c>
      <c r="P43" t="s">
        <v>33</v>
      </c>
      <c r="Q43" t="s">
        <v>28</v>
      </c>
      <c r="R43" t="s">
        <v>28</v>
      </c>
      <c r="S43" t="s">
        <v>28</v>
      </c>
      <c r="T43">
        <v>9</v>
      </c>
      <c r="U43" t="s">
        <v>126</v>
      </c>
    </row>
    <row r="44" spans="1:21" x14ac:dyDescent="0.35">
      <c r="A44" s="12">
        <v>54</v>
      </c>
      <c r="B44" s="2">
        <v>46162.889710648145</v>
      </c>
      <c r="C44" s="2">
        <v>46162.890914351854</v>
      </c>
      <c r="D44" t="s">
        <v>21</v>
      </c>
      <c r="F44" s="12" t="s">
        <v>30</v>
      </c>
      <c r="H44" s="12" t="s">
        <v>23</v>
      </c>
      <c r="J44" t="s">
        <v>56</v>
      </c>
      <c r="K44" t="s">
        <v>127</v>
      </c>
      <c r="L44" t="s">
        <v>33</v>
      </c>
      <c r="M44" t="s">
        <v>26</v>
      </c>
      <c r="N44" t="s">
        <v>27</v>
      </c>
      <c r="O44" t="s">
        <v>33</v>
      </c>
      <c r="P44" t="s">
        <v>26</v>
      </c>
      <c r="Q44" t="s">
        <v>26</v>
      </c>
      <c r="R44" t="s">
        <v>27</v>
      </c>
      <c r="S44" t="s">
        <v>28</v>
      </c>
      <c r="T44">
        <v>5</v>
      </c>
      <c r="U44" t="s">
        <v>128</v>
      </c>
    </row>
    <row r="45" spans="1:21" x14ac:dyDescent="0.35">
      <c r="A45" s="13">
        <v>55</v>
      </c>
      <c r="B45" s="2">
        <v>46162.891446759262</v>
      </c>
      <c r="C45" s="2">
        <v>46162.892326388886</v>
      </c>
      <c r="D45" t="s">
        <v>21</v>
      </c>
      <c r="F45" s="13" t="s">
        <v>30</v>
      </c>
      <c r="H45" s="13" t="s">
        <v>23</v>
      </c>
      <c r="J45" t="s">
        <v>129</v>
      </c>
      <c r="K45" t="s">
        <v>130</v>
      </c>
      <c r="L45" t="s">
        <v>33</v>
      </c>
      <c r="M45" t="s">
        <v>26</v>
      </c>
      <c r="N45" t="s">
        <v>27</v>
      </c>
      <c r="O45" t="s">
        <v>33</v>
      </c>
      <c r="P45" t="s">
        <v>27</v>
      </c>
      <c r="Q45" t="s">
        <v>26</v>
      </c>
      <c r="R45" t="s">
        <v>33</v>
      </c>
      <c r="S45" t="s">
        <v>26</v>
      </c>
      <c r="T45">
        <v>7</v>
      </c>
      <c r="U45" t="s">
        <v>131</v>
      </c>
    </row>
    <row r="46" spans="1:21" x14ac:dyDescent="0.35">
      <c r="A46" s="12">
        <v>56</v>
      </c>
      <c r="B46" s="2">
        <v>46162.947314814817</v>
      </c>
      <c r="C46" s="2">
        <v>46162.948703703703</v>
      </c>
      <c r="D46" t="s">
        <v>21</v>
      </c>
      <c r="F46" s="12" t="s">
        <v>22</v>
      </c>
      <c r="H46" s="12" t="s">
        <v>30</v>
      </c>
      <c r="J46" t="s">
        <v>31</v>
      </c>
      <c r="K46" t="s">
        <v>132</v>
      </c>
      <c r="L46" t="s">
        <v>27</v>
      </c>
      <c r="M46" t="s">
        <v>33</v>
      </c>
      <c r="N46" t="s">
        <v>33</v>
      </c>
      <c r="O46" t="s">
        <v>26</v>
      </c>
      <c r="P46" t="s">
        <v>33</v>
      </c>
      <c r="Q46" t="s">
        <v>28</v>
      </c>
      <c r="R46" t="s">
        <v>26</v>
      </c>
      <c r="S46" t="s">
        <v>26</v>
      </c>
      <c r="T46">
        <v>8</v>
      </c>
      <c r="U46" t="s">
        <v>133</v>
      </c>
    </row>
    <row r="47" spans="1:21" x14ac:dyDescent="0.35">
      <c r="A47" s="13">
        <v>57</v>
      </c>
      <c r="B47" s="2">
        <v>46162.955555555556</v>
      </c>
      <c r="C47" s="2">
        <v>46162.960636574076</v>
      </c>
      <c r="D47" t="s">
        <v>21</v>
      </c>
      <c r="F47" s="13" t="s">
        <v>30</v>
      </c>
      <c r="H47" s="13" t="s">
        <v>30</v>
      </c>
      <c r="J47" t="s">
        <v>31</v>
      </c>
      <c r="K47" t="s">
        <v>134</v>
      </c>
      <c r="L47" t="s">
        <v>26</v>
      </c>
      <c r="M47" t="s">
        <v>28</v>
      </c>
      <c r="N47" t="s">
        <v>27</v>
      </c>
      <c r="O47" t="s">
        <v>33</v>
      </c>
      <c r="P47" t="s">
        <v>33</v>
      </c>
      <c r="Q47" t="s">
        <v>26</v>
      </c>
      <c r="R47" t="s">
        <v>33</v>
      </c>
      <c r="S47" t="s">
        <v>26</v>
      </c>
      <c r="T47">
        <v>8</v>
      </c>
      <c r="U47" t="s">
        <v>135</v>
      </c>
    </row>
    <row r="48" spans="1:21" x14ac:dyDescent="0.35">
      <c r="A48" s="12">
        <v>58</v>
      </c>
      <c r="B48" s="2">
        <v>46162.960266203707</v>
      </c>
      <c r="C48" s="2">
        <v>46162.961041666669</v>
      </c>
      <c r="D48" t="s">
        <v>21</v>
      </c>
      <c r="F48" s="12" t="s">
        <v>30</v>
      </c>
      <c r="H48" s="12" t="s">
        <v>30</v>
      </c>
      <c r="J48" t="s">
        <v>38</v>
      </c>
      <c r="K48" t="s">
        <v>136</v>
      </c>
      <c r="L48" t="s">
        <v>33</v>
      </c>
      <c r="M48" t="s">
        <v>26</v>
      </c>
      <c r="N48" t="s">
        <v>33</v>
      </c>
      <c r="O48" t="s">
        <v>27</v>
      </c>
      <c r="P48" t="s">
        <v>33</v>
      </c>
      <c r="Q48" t="s">
        <v>27</v>
      </c>
      <c r="R48" t="s">
        <v>27</v>
      </c>
      <c r="S48" t="s">
        <v>27</v>
      </c>
      <c r="T48">
        <v>9</v>
      </c>
      <c r="U48" t="s">
        <v>137</v>
      </c>
    </row>
    <row r="49" spans="1:33" x14ac:dyDescent="0.35">
      <c r="A49" s="13">
        <v>59</v>
      </c>
      <c r="B49" s="2">
        <v>46163.287372685183</v>
      </c>
      <c r="C49" s="2">
        <v>46163.288483796299</v>
      </c>
      <c r="D49" t="s">
        <v>21</v>
      </c>
      <c r="F49" s="13" t="s">
        <v>30</v>
      </c>
      <c r="H49" s="13" t="s">
        <v>30</v>
      </c>
      <c r="J49" t="s">
        <v>38</v>
      </c>
      <c r="K49" t="s">
        <v>138</v>
      </c>
      <c r="L49" t="s">
        <v>33</v>
      </c>
      <c r="M49" t="s">
        <v>33</v>
      </c>
      <c r="N49" t="s">
        <v>27</v>
      </c>
      <c r="O49" t="s">
        <v>33</v>
      </c>
      <c r="P49" t="s">
        <v>27</v>
      </c>
      <c r="Q49" t="s">
        <v>95</v>
      </c>
      <c r="R49" t="s">
        <v>27</v>
      </c>
      <c r="S49" t="s">
        <v>26</v>
      </c>
      <c r="T49">
        <v>5</v>
      </c>
      <c r="U49" s="1" t="s">
        <v>139</v>
      </c>
    </row>
    <row r="50" spans="1:33" x14ac:dyDescent="0.35">
      <c r="A50" s="12">
        <v>60</v>
      </c>
      <c r="B50" s="2">
        <v>46163.322708333333</v>
      </c>
      <c r="C50" s="2">
        <v>46163.324918981481</v>
      </c>
      <c r="D50" t="s">
        <v>21</v>
      </c>
      <c r="F50" s="12" t="s">
        <v>30</v>
      </c>
      <c r="H50" s="12" t="s">
        <v>30</v>
      </c>
      <c r="J50" t="s">
        <v>83</v>
      </c>
      <c r="K50" t="s">
        <v>140</v>
      </c>
      <c r="L50" t="s">
        <v>27</v>
      </c>
      <c r="M50" t="s">
        <v>33</v>
      </c>
      <c r="N50" t="s">
        <v>27</v>
      </c>
      <c r="O50" t="s">
        <v>33</v>
      </c>
      <c r="P50" t="s">
        <v>27</v>
      </c>
      <c r="Q50" t="s">
        <v>28</v>
      </c>
      <c r="R50" t="s">
        <v>33</v>
      </c>
      <c r="S50" t="s">
        <v>33</v>
      </c>
      <c r="T50">
        <v>8</v>
      </c>
      <c r="U50" t="s">
        <v>141</v>
      </c>
    </row>
    <row r="51" spans="1:33" x14ac:dyDescent="0.35">
      <c r="A51" s="13">
        <v>3</v>
      </c>
      <c r="B51" s="2">
        <v>46162.426805555559</v>
      </c>
      <c r="C51" s="2">
        <v>46162.428217592591</v>
      </c>
      <c r="D51" t="s">
        <v>21</v>
      </c>
      <c r="F51" s="13" t="s">
        <v>22</v>
      </c>
      <c r="H51" s="13" t="s">
        <v>30</v>
      </c>
      <c r="L51" t="s">
        <v>27</v>
      </c>
      <c r="M51" t="s">
        <v>27</v>
      </c>
      <c r="N51" t="s">
        <v>33</v>
      </c>
      <c r="O51" t="s">
        <v>33</v>
      </c>
      <c r="P51" t="s">
        <v>27</v>
      </c>
      <c r="Q51" t="s">
        <v>28</v>
      </c>
      <c r="R51" t="s">
        <v>33</v>
      </c>
      <c r="S51" t="s">
        <v>27</v>
      </c>
      <c r="T51">
        <v>10</v>
      </c>
      <c r="U51" t="s">
        <v>142</v>
      </c>
    </row>
    <row r="52" spans="1:33" x14ac:dyDescent="0.35">
      <c r="A52" s="12">
        <v>15</v>
      </c>
      <c r="B52" s="2">
        <v>46162.59946759259</v>
      </c>
      <c r="C52" s="2">
        <v>46162.599803240744</v>
      </c>
      <c r="D52" t="s">
        <v>21</v>
      </c>
      <c r="F52" s="12" t="s">
        <v>22</v>
      </c>
      <c r="H52" s="12" t="s">
        <v>22</v>
      </c>
      <c r="I52" t="s">
        <v>143</v>
      </c>
    </row>
    <row r="53" spans="1:33" x14ac:dyDescent="0.35">
      <c r="A53" s="13">
        <v>17</v>
      </c>
      <c r="B53" s="2">
        <v>46162.605671296296</v>
      </c>
      <c r="C53" s="2">
        <v>46162.605821759258</v>
      </c>
      <c r="D53" t="s">
        <v>21</v>
      </c>
      <c r="F53" s="13" t="s">
        <v>22</v>
      </c>
      <c r="H53" s="13" t="s">
        <v>22</v>
      </c>
    </row>
    <row r="54" spans="1:33" x14ac:dyDescent="0.35">
      <c r="A54" s="12">
        <v>18</v>
      </c>
      <c r="B54" s="2">
        <v>46162.606342592589</v>
      </c>
      <c r="C54" s="2">
        <v>46162.606504629628</v>
      </c>
      <c r="D54" t="s">
        <v>21</v>
      </c>
      <c r="F54" s="12" t="s">
        <v>22</v>
      </c>
      <c r="H54" s="12" t="s">
        <v>22</v>
      </c>
    </row>
    <row r="55" spans="1:33" x14ac:dyDescent="0.35">
      <c r="A55" s="13">
        <v>25</v>
      </c>
      <c r="B55" s="2">
        <v>46162.626805555556</v>
      </c>
      <c r="C55" s="2">
        <v>46162.627129629633</v>
      </c>
      <c r="D55" t="s">
        <v>21</v>
      </c>
      <c r="F55" s="13" t="s">
        <v>22</v>
      </c>
      <c r="H55" s="13" t="s">
        <v>22</v>
      </c>
      <c r="I55" t="s">
        <v>144</v>
      </c>
    </row>
    <row r="56" spans="1:33" x14ac:dyDescent="0.35">
      <c r="A56" s="12">
        <v>29</v>
      </c>
      <c r="B56" s="2">
        <v>46162.662997685184</v>
      </c>
      <c r="C56" s="2">
        <v>46162.663171296299</v>
      </c>
      <c r="D56" t="s">
        <v>21</v>
      </c>
      <c r="F56" s="12" t="s">
        <v>30</v>
      </c>
      <c r="H56" s="12" t="s">
        <v>22</v>
      </c>
    </row>
    <row r="57" spans="1:33" x14ac:dyDescent="0.35">
      <c r="A57" s="13">
        <v>32</v>
      </c>
      <c r="B57" s="2">
        <v>46162.685844907406</v>
      </c>
      <c r="C57" s="2">
        <v>46162.686076388891</v>
      </c>
      <c r="D57" t="s">
        <v>21</v>
      </c>
      <c r="F57" s="13" t="s">
        <v>22</v>
      </c>
      <c r="H57" s="13" t="s">
        <v>22</v>
      </c>
      <c r="I57" t="s">
        <v>145</v>
      </c>
    </row>
    <row r="58" spans="1:33" x14ac:dyDescent="0.35">
      <c r="A58" s="12">
        <v>37</v>
      </c>
      <c r="B58" s="2">
        <v>46162.725104166668</v>
      </c>
      <c r="C58" s="2">
        <v>46162.725474537037</v>
      </c>
      <c r="D58" t="s">
        <v>21</v>
      </c>
      <c r="F58" s="12" t="s">
        <v>30</v>
      </c>
      <c r="H58" s="12" t="s">
        <v>22</v>
      </c>
    </row>
    <row r="59" spans="1:33" x14ac:dyDescent="0.35">
      <c r="A59" s="13">
        <v>47</v>
      </c>
      <c r="B59" s="2">
        <v>46162.841087962966</v>
      </c>
      <c r="C59" s="2">
        <v>46162.841296296298</v>
      </c>
      <c r="D59" t="s">
        <v>21</v>
      </c>
      <c r="F59" s="13" t="s">
        <v>30</v>
      </c>
      <c r="H59" s="13" t="s">
        <v>22</v>
      </c>
      <c r="I59" t="s">
        <v>146</v>
      </c>
    </row>
    <row r="61" spans="1:33" x14ac:dyDescent="0.35">
      <c r="F61" t="s">
        <v>30</v>
      </c>
      <c r="G61" t="s">
        <v>22</v>
      </c>
      <c r="H61" t="s">
        <v>23</v>
      </c>
    </row>
    <row r="62" spans="1:33" x14ac:dyDescent="0.35">
      <c r="F62" cm="1">
        <f t="array" aca="1" ref="F62" ca="1">SUMPRODUCT(SUBTOTAL(103,OFFSET(H2,ROW(H2:H59)-ROW(H2),0))*(H2:H59="Yes"))</f>
        <v>32</v>
      </c>
      <c r="G62" cm="1">
        <f t="array" aca="1" ref="G62" ca="1">SUMPRODUCT(SUBTOTAL(103,OFFSET(H2,ROW(H2:H59)-ROW(H2),0))*(H2:H59="no"))</f>
        <v>8</v>
      </c>
      <c r="H62" cm="1">
        <f t="array" aca="1" ref="H62" ca="1">SUMPRODUCT(SUBTOTAL(103,OFFSET(H2,ROW(H2:H59)-ROW(H2),0))*(H2:H59="maybe"))</f>
        <v>18</v>
      </c>
      <c r="L62" s="6" t="s">
        <v>5</v>
      </c>
      <c r="M62" t="s">
        <v>151</v>
      </c>
      <c r="N62" t="s">
        <v>152</v>
      </c>
      <c r="O62" t="s">
        <v>153</v>
      </c>
      <c r="P62" t="s">
        <v>154</v>
      </c>
      <c r="Q62" s="14"/>
      <c r="R62" s="14"/>
      <c r="S62" s="14"/>
      <c r="U62" s="16" t="s">
        <v>170</v>
      </c>
      <c r="Z62" s="15" t="s">
        <v>173</v>
      </c>
      <c r="AA62" s="15"/>
      <c r="AB62" s="15"/>
      <c r="AC62" s="15"/>
      <c r="AD62" s="15"/>
    </row>
    <row r="63" spans="1:33" x14ac:dyDescent="0.35">
      <c r="L63" s="4" t="s">
        <v>22</v>
      </c>
      <c r="M63" s="8" t="s">
        <v>147</v>
      </c>
      <c r="N63" t="s">
        <v>148</v>
      </c>
      <c r="O63" t="s">
        <v>149</v>
      </c>
      <c r="P63" t="s">
        <v>150</v>
      </c>
      <c r="U63" s="17"/>
      <c r="W63" t="s">
        <v>159</v>
      </c>
      <c r="X63" t="s">
        <v>161</v>
      </c>
      <c r="Y63" t="s">
        <v>162</v>
      </c>
      <c r="Z63" t="s">
        <v>163</v>
      </c>
      <c r="AA63" t="s">
        <v>158</v>
      </c>
      <c r="AB63" t="s">
        <v>164</v>
      </c>
      <c r="AC63" t="s">
        <v>165</v>
      </c>
      <c r="AD63" t="s">
        <v>166</v>
      </c>
      <c r="AE63" t="s">
        <v>167</v>
      </c>
      <c r="AF63" t="s">
        <v>168</v>
      </c>
      <c r="AG63" t="s">
        <v>169</v>
      </c>
    </row>
    <row r="64" spans="1:33" x14ac:dyDescent="0.35">
      <c r="F64" s="15" t="s">
        <v>156</v>
      </c>
      <c r="G64" s="15"/>
      <c r="H64" s="15"/>
      <c r="L64" s="3" t="s">
        <v>30</v>
      </c>
      <c r="M64" s="8" t="s">
        <v>147</v>
      </c>
      <c r="N64" t="s">
        <v>149</v>
      </c>
      <c r="O64" t="s">
        <v>148</v>
      </c>
      <c r="P64" t="s">
        <v>150</v>
      </c>
      <c r="U64" s="17"/>
      <c r="W64" t="s">
        <v>160</v>
      </c>
      <c r="X64" cm="1">
        <f t="array" aca="1" ref="X64" ca="1">SUMPRODUCT(SUBTOTAL(103,OFFSET(T2,ROW(T2:T51)-ROW(T2),0))*(T2:T51=1))</f>
        <v>0</v>
      </c>
      <c r="Y64" cm="1">
        <f t="array" aca="1" ref="Y64" ca="1">SUMPRODUCT(SUBTOTAL(103,OFFSET(T2,ROW(T2:T51)-ROW(T2),0))*(T2:T51=2))</f>
        <v>0</v>
      </c>
      <c r="Z64" cm="1">
        <f t="array" aca="1" ref="Z64" ca="1">SUMPRODUCT(SUBTOTAL(103,OFFSET(T2,ROW(T2:T51)-ROW(T2),0))*(T2:T51=3))</f>
        <v>0</v>
      </c>
      <c r="AA64" cm="1">
        <f t="array" aca="1" ref="AA64" ca="1">SUMPRODUCT(SUBTOTAL(103,OFFSET(T2,ROW(T2:T51)-ROW(T2),0))*(T2:T51=4))</f>
        <v>1</v>
      </c>
      <c r="AB64" cm="1">
        <f t="array" aca="1" ref="AB64" ca="1">SUMPRODUCT(SUBTOTAL(103,OFFSET(T2,ROW(T2:T51)-ROW(T2),0))*(T2:T51=5))</f>
        <v>2</v>
      </c>
      <c r="AC64" cm="1">
        <f t="array" aca="1" ref="AC64" ca="1">SUMPRODUCT(SUBTOTAL(103,OFFSET(T2,ROW(T2:T51)-ROW(T2),0))*(T2:T51=6))</f>
        <v>5</v>
      </c>
      <c r="AD64" cm="1">
        <f t="array" aca="1" ref="AD64" ca="1">SUMPRODUCT(SUBTOTAL(103,OFFSET(T2,ROW(T2:T51)-ROW(T2),0))*(T2:T51=7))</f>
        <v>14</v>
      </c>
      <c r="AE64" cm="1">
        <f t="array" aca="1" ref="AE64" ca="1">SUMPRODUCT(SUBTOTAL(103,OFFSET(T2,ROW(T2:T51)-ROW(T2),0))*(T2:T51=8))</f>
        <v>14</v>
      </c>
      <c r="AF64" cm="1">
        <f t="array" aca="1" ref="AF64" ca="1">SUMPRODUCT(SUBTOTAL(103,OFFSET(T2,ROW(T2:T51)-ROW(T2),0))*(T2:T51=9))</f>
        <v>6</v>
      </c>
      <c r="AG64" cm="1">
        <f t="array" aca="1" ref="AG64" ca="1">SUMPRODUCT(SUBTOTAL(103,OFFSET(T2,ROW(T2:T51)-ROW(T2),0))*(T2:T51=10))</f>
        <v>6</v>
      </c>
    </row>
    <row r="65" spans="12:21" x14ac:dyDescent="0.35">
      <c r="L65" s="4" t="s">
        <v>30</v>
      </c>
      <c r="M65" s="8" t="s">
        <v>147</v>
      </c>
      <c r="N65" t="s">
        <v>150</v>
      </c>
      <c r="O65" t="s">
        <v>149</v>
      </c>
      <c r="P65" t="s">
        <v>148</v>
      </c>
      <c r="U65" s="17"/>
    </row>
    <row r="66" spans="12:21" x14ac:dyDescent="0.35">
      <c r="L66" s="3" t="s">
        <v>22</v>
      </c>
      <c r="M66" s="8" t="s">
        <v>148</v>
      </c>
      <c r="N66" t="s">
        <v>149</v>
      </c>
      <c r="O66" t="s">
        <v>147</v>
      </c>
      <c r="P66" t="s">
        <v>150</v>
      </c>
      <c r="U66" s="17"/>
    </row>
    <row r="67" spans="12:21" x14ac:dyDescent="0.35">
      <c r="L67" s="4" t="s">
        <v>30</v>
      </c>
      <c r="M67" s="8" t="s">
        <v>147</v>
      </c>
      <c r="N67" t="s">
        <v>148</v>
      </c>
      <c r="O67" t="s">
        <v>150</v>
      </c>
      <c r="P67" t="s">
        <v>149</v>
      </c>
      <c r="U67" s="17"/>
    </row>
    <row r="68" spans="12:21" x14ac:dyDescent="0.35">
      <c r="L68" s="3" t="s">
        <v>30</v>
      </c>
      <c r="M68" s="8" t="s">
        <v>147</v>
      </c>
      <c r="N68" t="s">
        <v>148</v>
      </c>
      <c r="O68" t="s">
        <v>149</v>
      </c>
      <c r="P68" t="s">
        <v>150</v>
      </c>
      <c r="U68" s="17"/>
    </row>
    <row r="69" spans="12:21" x14ac:dyDescent="0.35">
      <c r="L69" s="4" t="s">
        <v>30</v>
      </c>
      <c r="M69" s="8" t="s">
        <v>149</v>
      </c>
      <c r="N69" t="s">
        <v>150</v>
      </c>
      <c r="O69" t="s">
        <v>147</v>
      </c>
      <c r="P69" t="s">
        <v>148</v>
      </c>
      <c r="U69" s="17"/>
    </row>
    <row r="70" spans="12:21" x14ac:dyDescent="0.35">
      <c r="L70" s="3" t="s">
        <v>22</v>
      </c>
      <c r="M70" s="8" t="s">
        <v>147</v>
      </c>
      <c r="N70" t="s">
        <v>148</v>
      </c>
      <c r="O70" t="s">
        <v>149</v>
      </c>
      <c r="P70" t="s">
        <v>150</v>
      </c>
      <c r="U70" s="16" t="s">
        <v>172</v>
      </c>
    </row>
    <row r="71" spans="12:21" x14ac:dyDescent="0.35">
      <c r="L71" s="4" t="s">
        <v>30</v>
      </c>
      <c r="M71" s="8" t="s">
        <v>149</v>
      </c>
      <c r="N71" t="s">
        <v>147</v>
      </c>
      <c r="O71" t="s">
        <v>150</v>
      </c>
      <c r="P71" t="s">
        <v>148</v>
      </c>
      <c r="U71" s="16"/>
    </row>
    <row r="72" spans="12:21" x14ac:dyDescent="0.35">
      <c r="L72" s="3" t="s">
        <v>22</v>
      </c>
      <c r="M72" s="8" t="s">
        <v>148</v>
      </c>
      <c r="N72" t="s">
        <v>149</v>
      </c>
      <c r="O72" t="s">
        <v>147</v>
      </c>
      <c r="P72" t="s">
        <v>150</v>
      </c>
      <c r="U72" s="16"/>
    </row>
    <row r="73" spans="12:21" x14ac:dyDescent="0.35">
      <c r="L73" s="4" t="s">
        <v>30</v>
      </c>
      <c r="M73" s="8" t="s">
        <v>149</v>
      </c>
      <c r="N73" t="s">
        <v>148</v>
      </c>
      <c r="O73" t="s">
        <v>147</v>
      </c>
      <c r="P73" t="s">
        <v>150</v>
      </c>
      <c r="U73" s="16"/>
    </row>
    <row r="74" spans="12:21" x14ac:dyDescent="0.35">
      <c r="L74" s="3" t="s">
        <v>30</v>
      </c>
      <c r="M74" s="8" t="s">
        <v>147</v>
      </c>
      <c r="N74" t="s">
        <v>149</v>
      </c>
      <c r="O74" t="s">
        <v>148</v>
      </c>
      <c r="P74" t="s">
        <v>150</v>
      </c>
      <c r="U74" s="16"/>
    </row>
    <row r="75" spans="12:21" x14ac:dyDescent="0.35">
      <c r="L75" s="4" t="s">
        <v>22</v>
      </c>
      <c r="M75" s="8" t="s">
        <v>148</v>
      </c>
      <c r="N75" t="s">
        <v>150</v>
      </c>
      <c r="O75" t="s">
        <v>149</v>
      </c>
      <c r="P75" t="s">
        <v>147</v>
      </c>
      <c r="U75" s="16"/>
    </row>
    <row r="76" spans="12:21" x14ac:dyDescent="0.35">
      <c r="L76" s="3" t="s">
        <v>30</v>
      </c>
      <c r="M76" s="8" t="s">
        <v>148</v>
      </c>
      <c r="N76" t="s">
        <v>147</v>
      </c>
      <c r="O76" t="s">
        <v>150</v>
      </c>
      <c r="P76" t="s">
        <v>149</v>
      </c>
      <c r="U76" s="16"/>
    </row>
    <row r="77" spans="12:21" x14ac:dyDescent="0.35">
      <c r="L77" s="4" t="s">
        <v>30</v>
      </c>
      <c r="M77" s="8" t="s">
        <v>148</v>
      </c>
      <c r="N77" t="s">
        <v>149</v>
      </c>
      <c r="O77" t="s">
        <v>147</v>
      </c>
      <c r="P77" t="s">
        <v>150</v>
      </c>
      <c r="U77" s="16"/>
    </row>
    <row r="78" spans="12:21" x14ac:dyDescent="0.35">
      <c r="L78" s="3" t="s">
        <v>30</v>
      </c>
      <c r="M78" s="8" t="s">
        <v>149</v>
      </c>
      <c r="N78" t="s">
        <v>148</v>
      </c>
      <c r="O78" t="s">
        <v>147</v>
      </c>
      <c r="P78" t="s">
        <v>150</v>
      </c>
      <c r="U78" s="18" t="s">
        <v>171</v>
      </c>
    </row>
    <row r="79" spans="12:21" x14ac:dyDescent="0.35">
      <c r="L79" s="4" t="s">
        <v>22</v>
      </c>
      <c r="M79" s="8" t="s">
        <v>149</v>
      </c>
      <c r="N79" t="s">
        <v>150</v>
      </c>
      <c r="O79" t="s">
        <v>148</v>
      </c>
      <c r="P79" t="s">
        <v>147</v>
      </c>
      <c r="U79" s="18"/>
    </row>
    <row r="80" spans="12:21" x14ac:dyDescent="0.35">
      <c r="L80" s="3" t="s">
        <v>30</v>
      </c>
      <c r="M80" s="8" t="s">
        <v>148</v>
      </c>
      <c r="N80" t="s">
        <v>147</v>
      </c>
      <c r="O80" t="s">
        <v>149</v>
      </c>
      <c r="P80" t="s">
        <v>150</v>
      </c>
      <c r="U80" s="18"/>
    </row>
    <row r="81" spans="12:21" x14ac:dyDescent="0.35">
      <c r="L81" s="4" t="s">
        <v>30</v>
      </c>
      <c r="M81" s="8" t="s">
        <v>147</v>
      </c>
      <c r="N81" t="s">
        <v>149</v>
      </c>
      <c r="O81" t="s">
        <v>150</v>
      </c>
      <c r="P81" t="s">
        <v>148</v>
      </c>
      <c r="U81" s="18"/>
    </row>
    <row r="82" spans="12:21" x14ac:dyDescent="0.35">
      <c r="L82" s="3" t="s">
        <v>30</v>
      </c>
      <c r="M82" s="8" t="s">
        <v>147</v>
      </c>
      <c r="N82" t="s">
        <v>148</v>
      </c>
      <c r="O82" t="s">
        <v>149</v>
      </c>
      <c r="P82" t="s">
        <v>150</v>
      </c>
      <c r="U82" s="18"/>
    </row>
    <row r="83" spans="12:21" x14ac:dyDescent="0.35">
      <c r="L83" s="4" t="s">
        <v>22</v>
      </c>
      <c r="M83" s="8" t="s">
        <v>148</v>
      </c>
      <c r="N83" t="s">
        <v>149</v>
      </c>
      <c r="O83" t="s">
        <v>147</v>
      </c>
      <c r="P83" t="s">
        <v>150</v>
      </c>
      <c r="U83" s="18"/>
    </row>
    <row r="84" spans="12:21" x14ac:dyDescent="0.35">
      <c r="L84" s="3" t="s">
        <v>30</v>
      </c>
      <c r="M84" s="8" t="s">
        <v>149</v>
      </c>
      <c r="N84" t="s">
        <v>147</v>
      </c>
      <c r="O84" t="s">
        <v>148</v>
      </c>
      <c r="P84" t="s">
        <v>150</v>
      </c>
      <c r="U84" s="18"/>
    </row>
    <row r="85" spans="12:21" x14ac:dyDescent="0.35">
      <c r="L85" s="4" t="s">
        <v>30</v>
      </c>
      <c r="M85" s="8" t="s">
        <v>147</v>
      </c>
      <c r="N85" t="s">
        <v>149</v>
      </c>
      <c r="O85" t="s">
        <v>150</v>
      </c>
      <c r="P85" t="s">
        <v>148</v>
      </c>
      <c r="U85" s="18"/>
    </row>
    <row r="86" spans="12:21" x14ac:dyDescent="0.35">
      <c r="L86" s="3" t="s">
        <v>30</v>
      </c>
      <c r="M86" s="8" t="s">
        <v>148</v>
      </c>
      <c r="N86" t="s">
        <v>150</v>
      </c>
      <c r="O86" t="s">
        <v>147</v>
      </c>
      <c r="P86" t="s">
        <v>149</v>
      </c>
    </row>
    <row r="87" spans="12:21" x14ac:dyDescent="0.35">
      <c r="L87" s="4" t="s">
        <v>22</v>
      </c>
      <c r="M87" s="8" t="s">
        <v>149</v>
      </c>
      <c r="N87" t="s">
        <v>147</v>
      </c>
      <c r="O87" t="s">
        <v>148</v>
      </c>
      <c r="P87" t="s">
        <v>150</v>
      </c>
      <c r="U87" s="19" t="s">
        <v>29</v>
      </c>
    </row>
    <row r="88" spans="12:21" x14ac:dyDescent="0.35">
      <c r="L88" s="3" t="s">
        <v>22</v>
      </c>
      <c r="M88" s="8" t="s">
        <v>148</v>
      </c>
      <c r="N88" t="s">
        <v>149</v>
      </c>
      <c r="O88" t="s">
        <v>147</v>
      </c>
      <c r="P88" t="s">
        <v>150</v>
      </c>
      <c r="U88" s="20" t="s">
        <v>37</v>
      </c>
    </row>
    <row r="89" spans="12:21" x14ac:dyDescent="0.35">
      <c r="L89" s="4" t="s">
        <v>22</v>
      </c>
      <c r="M89" s="8" t="s">
        <v>148</v>
      </c>
      <c r="N89" t="s">
        <v>149</v>
      </c>
      <c r="O89" t="s">
        <v>147</v>
      </c>
      <c r="P89" t="s">
        <v>150</v>
      </c>
      <c r="U89" s="21" t="s">
        <v>45</v>
      </c>
    </row>
    <row r="90" spans="12:21" x14ac:dyDescent="0.35">
      <c r="L90" s="3" t="s">
        <v>30</v>
      </c>
      <c r="M90" s="8" t="s">
        <v>148</v>
      </c>
      <c r="N90" t="s">
        <v>147</v>
      </c>
      <c r="O90" t="s">
        <v>149</v>
      </c>
      <c r="P90" t="s">
        <v>150</v>
      </c>
      <c r="U90" s="20" t="s">
        <v>65</v>
      </c>
    </row>
    <row r="91" spans="12:21" x14ac:dyDescent="0.35">
      <c r="L91" s="4" t="s">
        <v>30</v>
      </c>
      <c r="M91" s="8" t="s">
        <v>148</v>
      </c>
      <c r="N91" t="s">
        <v>149</v>
      </c>
      <c r="O91" t="s">
        <v>150</v>
      </c>
      <c r="P91" t="s">
        <v>147</v>
      </c>
      <c r="U91" s="21" t="s">
        <v>69</v>
      </c>
    </row>
    <row r="92" spans="12:21" x14ac:dyDescent="0.35">
      <c r="L92" s="3" t="s">
        <v>30</v>
      </c>
      <c r="M92" s="8" t="s">
        <v>148</v>
      </c>
      <c r="N92" t="s">
        <v>147</v>
      </c>
      <c r="O92" t="s">
        <v>149</v>
      </c>
      <c r="P92" t="s">
        <v>150</v>
      </c>
      <c r="U92" s="20" t="s">
        <v>126</v>
      </c>
    </row>
    <row r="93" spans="12:21" x14ac:dyDescent="0.35">
      <c r="L93" s="4" t="s">
        <v>30</v>
      </c>
      <c r="M93" s="8" t="s">
        <v>148</v>
      </c>
      <c r="N93" t="s">
        <v>149</v>
      </c>
      <c r="O93" t="s">
        <v>150</v>
      </c>
      <c r="P93" t="s">
        <v>147</v>
      </c>
      <c r="U93" s="21" t="s">
        <v>135</v>
      </c>
    </row>
    <row r="94" spans="12:21" x14ac:dyDescent="0.35">
      <c r="L94" s="3" t="s">
        <v>30</v>
      </c>
      <c r="M94" s="8" t="s">
        <v>148</v>
      </c>
      <c r="N94" t="s">
        <v>147</v>
      </c>
      <c r="O94" t="s">
        <v>149</v>
      </c>
      <c r="P94" t="s">
        <v>150</v>
      </c>
      <c r="U94" s="20" t="s">
        <v>141</v>
      </c>
    </row>
    <row r="95" spans="12:21" x14ac:dyDescent="0.35">
      <c r="L95" s="4" t="s">
        <v>22</v>
      </c>
      <c r="M95" s="8" t="s">
        <v>149</v>
      </c>
      <c r="N95" t="s">
        <v>148</v>
      </c>
      <c r="O95" t="s">
        <v>147</v>
      </c>
      <c r="P95" t="s">
        <v>150</v>
      </c>
      <c r="U95" s="22" t="s">
        <v>142</v>
      </c>
    </row>
    <row r="96" spans="12:21" x14ac:dyDescent="0.35">
      <c r="L96" s="3" t="s">
        <v>30</v>
      </c>
      <c r="M96" s="8" t="s">
        <v>148</v>
      </c>
      <c r="N96" t="s">
        <v>147</v>
      </c>
      <c r="O96" t="s">
        <v>149</v>
      </c>
      <c r="P96" t="s">
        <v>150</v>
      </c>
    </row>
    <row r="97" spans="12:21" x14ac:dyDescent="0.35">
      <c r="L97" s="4" t="s">
        <v>22</v>
      </c>
      <c r="M97" s="8" t="s">
        <v>148</v>
      </c>
      <c r="N97" t="s">
        <v>149</v>
      </c>
      <c r="O97" t="s">
        <v>150</v>
      </c>
      <c r="P97" t="s">
        <v>147</v>
      </c>
      <c r="U97" s="23" t="s">
        <v>29</v>
      </c>
    </row>
    <row r="98" spans="12:21" x14ac:dyDescent="0.35">
      <c r="L98" s="3" t="s">
        <v>22</v>
      </c>
      <c r="M98" s="8" t="s">
        <v>148</v>
      </c>
      <c r="N98" t="s">
        <v>147</v>
      </c>
      <c r="O98" t="s">
        <v>150</v>
      </c>
      <c r="P98" t="s">
        <v>149</v>
      </c>
      <c r="U98" s="24" t="s">
        <v>55</v>
      </c>
    </row>
    <row r="99" spans="12:21" x14ac:dyDescent="0.35">
      <c r="L99" s="4" t="s">
        <v>30</v>
      </c>
      <c r="M99" s="8" t="s">
        <v>149</v>
      </c>
      <c r="N99" t="s">
        <v>150</v>
      </c>
      <c r="O99" t="s">
        <v>147</v>
      </c>
      <c r="P99" t="s">
        <v>148</v>
      </c>
      <c r="U99" s="25" t="s">
        <v>86</v>
      </c>
    </row>
    <row r="100" spans="12:21" x14ac:dyDescent="0.35">
      <c r="L100" s="3" t="s">
        <v>30</v>
      </c>
      <c r="M100" s="8" t="s">
        <v>148</v>
      </c>
      <c r="N100" t="s">
        <v>149</v>
      </c>
      <c r="O100" t="s">
        <v>147</v>
      </c>
      <c r="P100" t="s">
        <v>150</v>
      </c>
      <c r="U100" s="24" t="s">
        <v>89</v>
      </c>
    </row>
    <row r="101" spans="12:21" x14ac:dyDescent="0.35">
      <c r="L101" s="4" t="s">
        <v>30</v>
      </c>
      <c r="M101" s="8" t="s">
        <v>148</v>
      </c>
      <c r="N101" t="s">
        <v>150</v>
      </c>
      <c r="O101" t="s">
        <v>149</v>
      </c>
      <c r="P101" t="s">
        <v>147</v>
      </c>
      <c r="U101" s="25" t="s">
        <v>91</v>
      </c>
    </row>
    <row r="102" spans="12:21" x14ac:dyDescent="0.35">
      <c r="L102" s="3" t="s">
        <v>30</v>
      </c>
      <c r="M102" s="8" t="s">
        <v>148</v>
      </c>
      <c r="N102" t="s">
        <v>147</v>
      </c>
      <c r="O102" t="s">
        <v>150</v>
      </c>
      <c r="P102" t="s">
        <v>149</v>
      </c>
      <c r="U102" s="22" t="s">
        <v>124</v>
      </c>
    </row>
    <row r="103" spans="12:21" x14ac:dyDescent="0.35">
      <c r="L103" s="4" t="s">
        <v>22</v>
      </c>
      <c r="M103" s="8" t="s">
        <v>148</v>
      </c>
      <c r="N103" t="s">
        <v>149</v>
      </c>
      <c r="O103" t="s">
        <v>147</v>
      </c>
      <c r="P103" t="s">
        <v>150</v>
      </c>
    </row>
    <row r="104" spans="12:21" x14ac:dyDescent="0.35">
      <c r="L104" s="3" t="s">
        <v>30</v>
      </c>
      <c r="M104" s="8" t="s">
        <v>148</v>
      </c>
      <c r="N104" t="s">
        <v>149</v>
      </c>
      <c r="O104" t="s">
        <v>147</v>
      </c>
      <c r="P104" t="s">
        <v>150</v>
      </c>
    </row>
    <row r="105" spans="12:21" x14ac:dyDescent="0.35">
      <c r="L105" s="4" t="s">
        <v>30</v>
      </c>
      <c r="M105" s="8" t="s">
        <v>149</v>
      </c>
      <c r="N105" t="s">
        <v>148</v>
      </c>
      <c r="O105" t="s">
        <v>147</v>
      </c>
      <c r="P105" t="s">
        <v>150</v>
      </c>
    </row>
    <row r="106" spans="12:21" x14ac:dyDescent="0.35">
      <c r="L106" s="3" t="s">
        <v>30</v>
      </c>
      <c r="M106" s="8" t="s">
        <v>147</v>
      </c>
      <c r="N106" t="s">
        <v>150</v>
      </c>
      <c r="O106" t="s">
        <v>148</v>
      </c>
      <c r="P106" t="s">
        <v>149</v>
      </c>
    </row>
    <row r="107" spans="12:21" x14ac:dyDescent="0.35">
      <c r="L107" s="4" t="s">
        <v>22</v>
      </c>
      <c r="M107" s="8" t="s">
        <v>147</v>
      </c>
      <c r="N107" t="s">
        <v>149</v>
      </c>
      <c r="O107" t="s">
        <v>148</v>
      </c>
      <c r="P107" t="s">
        <v>150</v>
      </c>
    </row>
    <row r="108" spans="12:21" x14ac:dyDescent="0.35">
      <c r="L108" s="3" t="s">
        <v>30</v>
      </c>
      <c r="M108" s="8" t="s">
        <v>147</v>
      </c>
      <c r="N108" t="s">
        <v>149</v>
      </c>
      <c r="O108" t="s">
        <v>148</v>
      </c>
      <c r="P108" t="s">
        <v>150</v>
      </c>
    </row>
    <row r="109" spans="12:21" x14ac:dyDescent="0.35">
      <c r="L109" s="4" t="s">
        <v>30</v>
      </c>
      <c r="M109" s="8" t="s">
        <v>148</v>
      </c>
      <c r="N109" t="s">
        <v>149</v>
      </c>
      <c r="O109" t="s">
        <v>147</v>
      </c>
      <c r="P109" t="s">
        <v>150</v>
      </c>
    </row>
    <row r="110" spans="12:21" x14ac:dyDescent="0.35">
      <c r="L110" s="3" t="s">
        <v>30</v>
      </c>
      <c r="M110" s="8" t="s">
        <v>148</v>
      </c>
      <c r="N110" t="s">
        <v>149</v>
      </c>
      <c r="O110" t="s">
        <v>147</v>
      </c>
      <c r="P110" t="s">
        <v>150</v>
      </c>
    </row>
    <row r="111" spans="12:21" x14ac:dyDescent="0.35">
      <c r="L111" s="4" t="s">
        <v>30</v>
      </c>
      <c r="M111" s="8" t="s">
        <v>149</v>
      </c>
      <c r="N111" t="s">
        <v>147</v>
      </c>
      <c r="O111" t="s">
        <v>148</v>
      </c>
      <c r="P111" t="s">
        <v>150</v>
      </c>
    </row>
    <row r="113" spans="12:17" x14ac:dyDescent="0.35">
      <c r="O113" s="15" t="s">
        <v>157</v>
      </c>
      <c r="P113" s="15"/>
      <c r="Q113" s="15"/>
    </row>
    <row r="116" spans="12:17" x14ac:dyDescent="0.35">
      <c r="L116" t="s">
        <v>155</v>
      </c>
      <c r="M116" s="5" t="s">
        <v>151</v>
      </c>
    </row>
    <row r="117" spans="12:17" x14ac:dyDescent="0.35">
      <c r="L117" t="s">
        <v>147</v>
      </c>
      <c r="M117" s="9" cm="1">
        <f t="array" aca="1" ref="M117" ca="1">SUMPRODUCT(
    SUBTOTAL(103,OFFSET(M63,ROW(M63:M111)-ROW(M63),0))
    *(M63:M111="Image 1")
)</f>
        <v>13</v>
      </c>
    </row>
    <row r="118" spans="12:17" x14ac:dyDescent="0.35">
      <c r="L118" t="s">
        <v>148</v>
      </c>
      <c r="M118" s="3" cm="1">
        <f t="array" aca="1" ref="M118" ca="1">SUMPRODUCT(
    SUBTOTAL(103,OFFSET(M63,ROW(M63:M111)-ROW(M63),0))
    *(M63:M111="Image 2")
)</f>
        <v>25</v>
      </c>
    </row>
    <row r="119" spans="12:17" x14ac:dyDescent="0.35">
      <c r="L119" t="s">
        <v>149</v>
      </c>
      <c r="M119" s="3" cm="1">
        <f t="array" aca="1" ref="M119" ca="1">SUMPRODUCT(
    SUBTOTAL(103,OFFSET(M63,ROW(M63:M111)-ROW(M63),0))
    *(M63:M111="Image 3")
)</f>
        <v>11</v>
      </c>
    </row>
    <row r="120" spans="12:17" x14ac:dyDescent="0.35">
      <c r="L120" t="s">
        <v>150</v>
      </c>
      <c r="M120" s="3" cm="1">
        <f t="array" aca="1" ref="M120" ca="1">SUMPRODUCT(
    SUBTOTAL(103,OFFSET(M63,ROW(M63:M111)-ROW(M63),0))
    *(M63:M111="Image 4")
)</f>
        <v>0</v>
      </c>
    </row>
    <row r="122" spans="12:17" x14ac:dyDescent="0.35">
      <c r="L122" t="s">
        <v>155</v>
      </c>
      <c r="M122" s="6" t="s">
        <v>152</v>
      </c>
    </row>
    <row r="123" spans="12:17" x14ac:dyDescent="0.35">
      <c r="L123" t="s">
        <v>147</v>
      </c>
      <c r="M123" s="3" cm="1">
        <f t="array" aca="1" ref="M123" ca="1">SUMPRODUCT(
    SUBTOTAL(103,OFFSET(N63,ROW(N63:N111)-ROW(N63),0))
    *(N63:N111="Image 1")
)</f>
        <v>12</v>
      </c>
    </row>
    <row r="124" spans="12:17" x14ac:dyDescent="0.35">
      <c r="L124" t="s">
        <v>148</v>
      </c>
      <c r="M124" s="3" cm="1">
        <f t="array" aca="1" ref="M124" ca="1">SUMPRODUCT(
    SUBTOTAL(103,OFFSET(N63,ROW(N63:N111)-ROW(N63),0))
    *(N63:N111="Image 2")
)</f>
        <v>9</v>
      </c>
    </row>
    <row r="125" spans="12:17" x14ac:dyDescent="0.35">
      <c r="L125" t="s">
        <v>149</v>
      </c>
      <c r="M125" s="3" cm="1">
        <f t="array" aca="1" ref="M125" ca="1">SUMPRODUCT(
    SUBTOTAL(103,OFFSET(N63,ROW(N63:N111)-ROW(N63),0))
    *(N63:N111="Image 3")
)</f>
        <v>20</v>
      </c>
    </row>
    <row r="126" spans="12:17" x14ac:dyDescent="0.35">
      <c r="L126" t="s">
        <v>150</v>
      </c>
      <c r="M126" s="3" cm="1">
        <f t="array" aca="1" ref="M126" ca="1">SUMPRODUCT(
    SUBTOTAL(103,OFFSET(N63,ROW(N63:N111)-ROW(N63),0))
    *(N63:N111="Image 4")
)</f>
        <v>8</v>
      </c>
    </row>
    <row r="128" spans="12:17" x14ac:dyDescent="0.35">
      <c r="L128" t="s">
        <v>155</v>
      </c>
      <c r="M128" s="6" t="s">
        <v>153</v>
      </c>
    </row>
    <row r="129" spans="12:13" x14ac:dyDescent="0.35">
      <c r="L129" t="s">
        <v>147</v>
      </c>
      <c r="M129" s="3" cm="1">
        <f t="array" aca="1" ref="M129" ca="1">SUMPRODUCT(
    SUBTOTAL(103,OFFSET(O63,ROW(O63:O111)-ROW(O63),0))
    *(O63:O111="Image 1")
)</f>
        <v>18</v>
      </c>
    </row>
    <row r="130" spans="12:13" x14ac:dyDescent="0.35">
      <c r="L130" t="s">
        <v>148</v>
      </c>
      <c r="M130" s="3" cm="1">
        <f t="array" aca="1" ref="M130" ca="1">SUMPRODUCT(
    SUBTOTAL(103,OFFSET(O63,ROW(O63:O111)-ROW(O63),0))
    *(O63:O111="Image 2")
)</f>
        <v>9</v>
      </c>
    </row>
    <row r="131" spans="12:13" x14ac:dyDescent="0.35">
      <c r="L131" t="s">
        <v>149</v>
      </c>
      <c r="M131" s="3" cm="1">
        <f t="array" aca="1" ref="M131" ca="1">SUMPRODUCT(
    SUBTOTAL(103,OFFSET(O63,ROW(O63:O111)-ROW(O63),0))
    *(O63:O111="Image 3")
)</f>
        <v>12</v>
      </c>
    </row>
    <row r="132" spans="12:13" x14ac:dyDescent="0.35">
      <c r="L132" t="s">
        <v>150</v>
      </c>
      <c r="M132" s="3" cm="1">
        <f t="array" aca="1" ref="M132" ca="1">SUMPRODUCT(
    SUBTOTAL(103,OFFSET(O63,ROW(O63:O111)-ROW(O63),0))
    *(O63:O111="Image 4")
)</f>
        <v>10</v>
      </c>
    </row>
    <row r="134" spans="12:13" x14ac:dyDescent="0.35">
      <c r="L134" t="s">
        <v>155</v>
      </c>
      <c r="M134" s="7" t="s">
        <v>154</v>
      </c>
    </row>
    <row r="135" spans="12:13" x14ac:dyDescent="0.35">
      <c r="L135" t="s">
        <v>147</v>
      </c>
      <c r="M135" s="10" cm="1">
        <f t="array" aca="1" ref="M135" ca="1">SUMPRODUCT(
    SUBTOTAL(103,OFFSET(P63,ROW(P63:P111)-ROW(P63),0))
    *(P63:P111="Image 1")
)</f>
        <v>6</v>
      </c>
    </row>
    <row r="136" spans="12:13" x14ac:dyDescent="0.35">
      <c r="L136" t="s">
        <v>148</v>
      </c>
      <c r="M136" s="3" cm="1">
        <f t="array" aca="1" ref="M136" ca="1">SUMPRODUCT(
    SUBTOTAL(103,OFFSET(P63,ROW(P63:P111)-ROW(P63),0))
    *(P63:P111="Image 2")
)</f>
        <v>6</v>
      </c>
    </row>
    <row r="137" spans="12:13" x14ac:dyDescent="0.35">
      <c r="L137" t="s">
        <v>149</v>
      </c>
      <c r="M137" s="3" cm="1">
        <f t="array" aca="1" ref="M137" ca="1">SUMPRODUCT(
    SUBTOTAL(103,OFFSET(P63,ROW(P63:P111)-ROW(P63),0))
    *(P63:P111="Image 3")
)</f>
        <v>6</v>
      </c>
    </row>
    <row r="138" spans="12:13" x14ac:dyDescent="0.35">
      <c r="L138" t="s">
        <v>150</v>
      </c>
      <c r="M138" s="3" cm="1">
        <f t="array" aca="1" ref="M138" ca="1">SUMPRODUCT(
    SUBTOTAL(103,OFFSET(P63,ROW(P63:P111)-ROW(P63),0))
    *(P63:P111="Image 4")
)</f>
        <v>31</v>
      </c>
    </row>
  </sheetData>
  <mergeCells count="6">
    <mergeCell ref="F64:H64"/>
    <mergeCell ref="O113:Q113"/>
    <mergeCell ref="Z62:AD62"/>
    <mergeCell ref="U62:U69"/>
    <mergeCell ref="U70:U77"/>
    <mergeCell ref="U78:U85"/>
  </mergeCells>
  <pageMargins left="0.7" right="0.7" top="0.75" bottom="0.75" header="0.3" footer="0.3"/>
  <pageSetup paperSize="9" orientation="portrait" r:id="rId1"/>
  <drawing r:id="rId2"/>
  <tableParts count="8">
    <tablePart r:id="rId3"/>
    <tablePart r:id="rId4"/>
    <tablePart r:id="rId5"/>
    <tablePart r:id="rId6"/>
    <tablePart r:id="rId7"/>
    <tablePart r:id="rId8"/>
    <tablePart r:id="rId9"/>
    <tablePart r:id="rId1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TaxCatchAll xmlns="cc0e8f53-4a54-4e8b-83c1-d15ba22c3663" xsi:nil="true"/>
    <lcf76f155ced4ddcb4097134ff3c332f xmlns="7ee41aa2-a9ad-41d9-b8b1-bb01358df39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878E5A16D2E5BD44B76BEF7FA841D917" ma:contentTypeVersion="11" ma:contentTypeDescription="Create a new document." ma:contentTypeScope="" ma:versionID="8cfd750772889e51922bf98afcd7fef6">
  <xsd:schema xmlns:xsd="http://www.w3.org/2001/XMLSchema" xmlns:xs="http://www.w3.org/2001/XMLSchema" xmlns:p="http://schemas.microsoft.com/office/2006/metadata/properties" xmlns:ns2="7ee41aa2-a9ad-41d9-b8b1-bb01358df394" xmlns:ns3="cc0e8f53-4a54-4e8b-83c1-d15ba22c3663" targetNamespace="http://schemas.microsoft.com/office/2006/metadata/properties" ma:root="true" ma:fieldsID="be8fb80e2decf39920ea00b104793a28" ns2:_="" ns3:_="">
    <xsd:import namespace="7ee41aa2-a9ad-41d9-b8b1-bb01358df394"/>
    <xsd:import namespace="cc0e8f53-4a54-4e8b-83c1-d15ba22c36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e41aa2-a9ad-41d9-b8b1-bb01358df3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4a8eba7-a6e0-476b-8d02-1df7cd6793b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c0e8f53-4a54-4e8b-83c1-d15ba22c366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0f1ef84-9264-4d6a-8405-f1c16fcf6be8}" ma:internalName="TaxCatchAll" ma:showField="CatchAllData" ma:web="cc0e8f53-4a54-4e8b-83c1-d15ba22c36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3298AA-09EE-4B24-BEB4-F0291B1DD6C1}">
  <ds:schemaRefs>
    <ds:schemaRef ds:uri="http://schemas.microsoft.com/DataMashup"/>
  </ds:schemaRefs>
</ds:datastoreItem>
</file>

<file path=customXml/itemProps2.xml><?xml version="1.0" encoding="utf-8"?>
<ds:datastoreItem xmlns:ds="http://schemas.openxmlformats.org/officeDocument/2006/customXml" ds:itemID="{993B9A0A-DF1C-49F6-955E-D6A8EBB91D5F}">
  <ds:schemaRefs>
    <ds:schemaRef ds:uri="http://schemas.microsoft.com/office/2006/metadata/properties"/>
    <ds:schemaRef ds:uri="http://schemas.microsoft.com/office/infopath/2007/PartnerControls"/>
    <ds:schemaRef ds:uri="cc0e8f53-4a54-4e8b-83c1-d15ba22c3663"/>
    <ds:schemaRef ds:uri="7ee41aa2-a9ad-41d9-b8b1-bb01358df394"/>
  </ds:schemaRefs>
</ds:datastoreItem>
</file>

<file path=customXml/itemProps3.xml><?xml version="1.0" encoding="utf-8"?>
<ds:datastoreItem xmlns:ds="http://schemas.openxmlformats.org/officeDocument/2006/customXml" ds:itemID="{076EBB75-051F-4976-849D-0E72344CBD6B}">
  <ds:schemaRefs>
    <ds:schemaRef ds:uri="http://schemas.microsoft.com/sharepoint/v3/contenttype/forms"/>
  </ds:schemaRefs>
</ds:datastoreItem>
</file>

<file path=customXml/itemProps4.xml><?xml version="1.0" encoding="utf-8"?>
<ds:datastoreItem xmlns:ds="http://schemas.openxmlformats.org/officeDocument/2006/customXml" ds:itemID="{20D9F1F0-62F2-4D8F-8702-E073C0C848D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Luke Hatherly (25LTUTA1-VRH)</cp:lastModifiedBy>
  <cp:revision/>
  <dcterms:created xsi:type="dcterms:W3CDTF">2026-06-03T09:11:38Z</dcterms:created>
  <dcterms:modified xsi:type="dcterms:W3CDTF">2026-06-08T14:06:03Z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0x010100878E5A16D2E5BD44B76BEF7FA841D917</vt:lpwstr>
  </property>
  <property fmtid="{D5CDD505-2E9C-101B-9397-08002B2CF9AE}" pid="3" name="MediaServiceImageTags">
    <vt:lpwstr/>
  </property>
</Properties>
</file>